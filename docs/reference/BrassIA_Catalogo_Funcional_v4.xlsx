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44c0d4ce342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álogo Funcional" sheetId="1" r:id="R5478daf52c804ae4"/>
    <x:sheet xmlns:r="http://schemas.openxmlformats.org/officeDocument/2006/relationships" name="Mapa de Módulos" sheetId="2" r:id="Rec16af4d14f14dcb"/>
    <x:sheet xmlns:r="http://schemas.openxmlformats.org/officeDocument/2006/relationships" name="Matriz de Sanitização" sheetId="3" r:id="R1c2c1bfc123b4bee"/>
    <x:sheet xmlns:r="http://schemas.openxmlformats.org/officeDocument/2006/relationships" name="Matriz de Segurança" sheetId="4" r:id="R0e619ac4e75846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8"/>
      <x:color rgb="FFFFFFFF"/>
      <x:name val="Aptos Display"/>
    </x:font>
    <x:font>
      <x:sz val="10"/>
      <x:color rgb="FF0B2545"/>
      <x:name val="Aptos"/>
    </x:font>
    <x:font>
      <x:b/>
      <x:sz val="10"/>
      <x:color rgb="FF0B2545"/>
      <x:name val="Aptos"/>
    </x:font>
    <x:font>
      <x:b/>
      <x:sz val="11"/>
      <x:color rgb="FF0B6E69"/>
      <x:name val="Aptos"/>
    </x:font>
    <x:font>
      <x:sz val="9"/>
      <x:color rgb="FF202B36"/>
      <x:name val="Aptos"/>
    </x:font>
    <x:font>
      <x:b/>
      <x:sz val="9"/>
      <x:color rgb="FFFFFFFF"/>
      <x:name val="Aptos"/>
    </x:font>
    <x:font>
      <x:b/>
      <x:sz val="8"/>
      <x:color rgb="FF0B6E69"/>
      <x:name val="Aptos"/>
    </x:font>
    <x:font>
      <x:b/>
      <x:sz val="9"/>
      <x:color rgb="FF0B2545"/>
      <x:name val="Aptos"/>
    </x:font>
    <x:font>
      <x:b/>
      <x:sz val="11"/>
      <x:color rgb="FF0B2545"/>
      <x:name val="Aptos"/>
    </x:font>
    <x:font>
      <x:b/>
      <x:sz val="14"/>
      <x:color rgb="FF0B6E69"/>
      <x:name val="Aptos"/>
    </x:font>
    <x:font>
      <x:b/>
      <x:sz val="10"/>
      <x:color rgb="FF0B6E69"/>
      <x:name val="Aptos"/>
    </x:font>
    <x:font>
      <x:b/>
      <x:sz val="11"/>
      <x:color rgb="FFFFFFFF"/>
      <x:name val="Carlito"/>
    </x:font>
    <x:font>
      <x:sz val="11"/>
      <x:color rgb="FF0B2545"/>
      <x:name val="Carlito"/>
    </x:font>
    <x:font>
      <x:b/>
      <x:sz val="11"/>
      <x:color rgb="FF0B2545"/>
      <x:name val="Carlito"/>
    </x:font>
    <x:font>
      <x:b/>
      <x:sz val="11"/>
      <x:color rgb="FF0B6E69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F2F7F6"/>
      </x:patternFill>
    </x:fill>
    <x:fill>
      <x:patternFill patternType="solid">
        <x:fgColor rgb="FFEDF3F8"/>
      </x:patternFill>
    </x:fill>
    <x:fill>
      <x:patternFill patternType="solid">
        <x:fgColor rgb="FFFFFFFF"/>
      </x:patternFill>
    </x:fill>
    <x:fill>
      <x:patternFill patternType="solid">
        <x:fgColor rgb="FF0B6E69"/>
      </x:patternFill>
    </x:fill>
    <x:fill>
      <x:patternFill patternType="solid">
        <x:fgColor rgb="FF0B2545"/>
      </x:patternFill>
    </x:fill>
    <x:fill>
      <x:patternFill patternType="solid">
        <x:fgColor rgb="FFF2F7F6"/>
      </x:patternFill>
    </x:fill>
    <x:fill>
      <x:patternFill patternType="solid">
        <x:fgColor rgb="FFEDF3F8"/>
      </x:patternFill>
    </x:fill>
    <x:fill>
      <x:patternFill patternType="solid">
        <x:fgColor rgb="FF0B6E69"/>
      </x:patternFill>
    </x:fill>
  </x:fills>
  <x:borders count="4">
    <x:border/>
    <x:border>
      <x:bottom style="thin">
        <x:color rgb="FFCBD6DF"/>
      </x:bottom>
    </x:border>
    <x:border>
      <x:top style="thin">
        <x:color rgb="FFCBD6DF"/>
      </x:top>
      <x:bottom style="thin">
        <x:color rgb="FFCBD6DF"/>
      </x:bottom>
    </x:border>
    <x:border>
      <x:left style="thin">
        <x:color rgb="FFE5F0EE"/>
      </x:left>
      <x:right style="thin">
        <x:color rgb="FFE5F0EE"/>
      </x:right>
      <x:top style="thin">
        <x:color rgb="FFE5F0EE"/>
      </x:top>
      <x:bottom style="thin">
        <x:color rgb="FFE5F0EE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6" borderId="3" xfId="0" applyNumberFormat="1" applyFont="1" applyFill="1" applyBorder="1" applyAlignment="1">
      <x:alignment vertical="top" wrapText="1"/>
    </x:xf>
    <x:xf numFmtId="0" fontId="6" fillId="6" borderId="3" xfId="0" applyNumberFormat="1" applyFont="1" applyFill="1" applyBorder="1" applyAlignment="1">
      <x:alignment horizontal="left" vertical="top" wrapText="1"/>
    </x:xf>
    <x:xf numFmtId="0" fontId="6" fillId="6" borderId="3" xfId="0" applyNumberFormat="1" applyFont="1" applyFill="1" applyBorder="1" applyAlignment="1">
      <x:alignment horizontal="left" vertical="center" wrapText="1"/>
    </x:xf>
    <x:xf numFmtId="0" fontId="7" fillId="0" borderId="2" xfId="0" applyNumberFormat="1" applyFont="1" applyFill="1" applyBorder="1" applyAlignment="1">
      <x:alignment vertical="top" wrapText="1"/>
    </x:xf>
    <x:xf numFmtId="0" fontId="8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3" xfId="0" applyNumberFormat="1" applyFont="1" applyFill="1" applyBorder="1"/>
    <x:xf numFmtId="0" fontId="6" fillId="6" borderId="3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 applyAlignment="1">
      <x:alignment vertical="top" wrapText="1"/>
    </x:xf>
    <x:xf numFmtId="0" fontId="11" fillId="0" borderId="2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 applyAlignment="1">
      <x:alignment horizontal="center" vertical="top" wrapText="1"/>
    </x:xf>
    <x:xf numFmtId="0" fontId="11" fillId="0" borderId="2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wrapText="1"/>
    </x:xf>
    <x:xf numFmtId="0" fontId="13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0" xfId="0" applyNumberFormat="1" applyFont="1" applyFill="1" applyBorder="1" applyAlignment="1">
      <x:alignment vertical="center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3" xfId="0" applyNumberFormat="1" applyFont="1" applyFill="1" applyBorder="1"/>
    <x:xf numFmtId="0" fontId="12" fillId="10" borderId="3" xfId="0" applyNumberFormat="1" applyFont="1" applyFill="1" applyBorder="1" applyAlignment="1">
      <x:alignment wrapText="1"/>
    </x:xf>
    <x:xf numFmtId="0" fontId="12" fillId="10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075652"/>
      </x:font>
      <x:fill>
        <x:patternFill>
          <x:bgColor rgb="FFDFF2EC"/>
        </x:patternFill>
      </x:fill>
    </x:dxf>
    <x:dxf>
      <x:font>
        <x:b/>
        <x:color rgb="FF254B76"/>
      </x:font>
      <x:fill>
        <x:patternFill>
          <x:bgColor rgb="FFE7EEF8"/>
        </x:patternFill>
      </x:fill>
    </x:dxf>
    <x:dxf>
      <x:font>
        <x:b/>
        <x:color rgb="FF7A5A00"/>
      </x:font>
      <x:fill>
        <x:patternFill>
          <x:bgColor rgb="FFFFF0CC"/>
        </x:patternFill>
      </x:fill>
    </x:dxf>
    <x:dxf>
      <x:font>
        <x:b/>
        <x:color rgb="FF634078"/>
      </x:font>
      <x:fill>
        <x:patternFill>
          <x:bgColor rgb="FFF0E8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f21f692a4148ee" /><Relationship Type="http://schemas.openxmlformats.org/officeDocument/2006/relationships/theme" Target="/xl/theme/theme1.xml" Id="R36006a3ce8be46ab" /><Relationship Type="http://schemas.openxmlformats.org/officeDocument/2006/relationships/sharedStrings" Target="/xl/sharedStrings.xml" Id="R3559d0c18265460d" /><Relationship Type="http://schemas.openxmlformats.org/officeDocument/2006/relationships/worksheet" Target="/xl/worksheets/sheet1.xml" Id="R5478daf52c804ae4" /><Relationship Type="http://schemas.openxmlformats.org/officeDocument/2006/relationships/worksheet" Target="/xl/worksheets/sheet2.xml" Id="Rec16af4d14f14dcb" /><Relationship Type="http://schemas.openxmlformats.org/officeDocument/2006/relationships/worksheet" Target="/xl/worksheets/sheet3.xml" Id="R1c2c1bfc123b4bee" /><Relationship Type="http://schemas.openxmlformats.org/officeDocument/2006/relationships/worksheet" Target="/xl/worksheets/sheet4.xml" Id="R0e619ac4e758466f" /></Relationships>
</file>

<file path=xl/tables/table1.xml><?xml version="1.0" encoding="utf-8"?>
<x:table xmlns:x="http://schemas.openxmlformats.org/spreadsheetml/2006/main" id="4" name="CatalogoFuncionalTable" displayName="CatalogoFuncionalTable" ref="A5:I461" headerRowCount="1" totalsRowCount="0" totalsRowShown="0">
  <x:autoFilter ref="A5:I461"/>
  <x:tableColumns count="9">
    <x:tableColumn id="1" name="ID"/>
    <x:tableColumn id="2" name="Categoria"/>
    <x:tableColumn id="3" name="Módulo"/>
    <x:tableColumn id="4" name="Funcionalidade"/>
    <x:tableColumn id="5" name="Item / Subitem"/>
    <x:tableColumn id="6" name="Descrição do escopo"/>
    <x:tableColumn id="7" name="Fase"/>
    <x:tableColumn id="8" name="Prioridade"/>
    <x:tableColumn id="9" name="Perfil princip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paModulos" displayName="MapaModulos" ref="A6:E41" headerRowCount="1" totalsRowCount="0" totalsRowShown="0">
  <x:autoFilter ref="A6:E41"/>
  <x:tableColumns count="5">
    <x:tableColumn id="1" name="Categoria"/>
    <x:tableColumn id="2" name="Módulo"/>
    <x:tableColumn id="3" name="Itens"/>
    <x:tableColumn id="4" name="Fase inicial"/>
    <x:tableColumn id="5" name="Objetiv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trizSanitizacao" displayName="MatrizSanitizacao" ref="A5:K23" headerRowCount="1" totalsRowCount="0" totalsRowShown="0">
  <x:autoFilter ref="A5:K23"/>
  <x:tableColumns count="11">
    <x:tableColumn id="1" name="ID"/>
    <x:tableColumn id="2" name="Equipamento"/>
    <x:tableColumn id="3" name="Material / risco"/>
    <x:tableColumn id="4" name="Sujidade principal"/>
    <x:tableColumn id="5" name="Método ideal"/>
    <x:tableColumn id="6" name="Sequência recomendada"/>
    <x:tableColumn id="7" name="Alternativas"/>
    <x:tableColumn id="8" name="Evitar / bloquear"/>
    <x:tableColumn id="9" name="Verificação"/>
    <x:tableColumn id="10" name="Gatilho / frequência"/>
    <x:tableColumn id="11" name="Critério de liberaçã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SecurityMatrixTable" displayName="SecurityMatrixTable" ref="A5:I37" headerRowCount="1" totalsRowCount="0" totalsRowShown="0">
  <x:autoFilter ref="A5:I37"/>
  <x:tableColumns count="9">
    <x:tableColumn id="1" name="ID"/>
    <x:tableColumn id="2" name="Área"/>
    <x:tableColumn id="3" name="Funcionalidade"/>
    <x:tableColumn id="4" name="Controles essenciais"/>
    <x:tableColumn id="5" name="Fase"/>
    <x:tableColumn id="6" name="Prioridade"/>
    <x:tableColumn id="7" name="Quando usar"/>
    <x:tableColumn id="8" name="Por quê"/>
    <x:tableColumn id="9" name="Referê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962c3fd19040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280c4c9507046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7146a565c9243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805e9f692a24c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9" hidden="0" customWidth="1"/>
    <x:col min="3" max="3" width="28" hidden="0" customWidth="1"/>
    <x:col min="4" max="4" width="27" hidden="0" customWidth="1"/>
    <x:col min="5" max="5" width="31" hidden="0" customWidth="1"/>
    <x:col min="6" max="6" width="62" hidden="0" customWidth="1"/>
    <x:col min="7" max="7" width="14" hidden="0" customWidth="1"/>
    <x:col min="8" max="8" width="14" hidden="0" customWidth="1"/>
    <x:col min="9" max="9" width="24" hidden="0" customWidth="1"/>
  </x:cols>
  <x:sheetData>
    <x:row r="1" ht="34" customHeight="1">
      <x:c r="A1" s="3" t="str">
        <x:v>CATÁLOGO FUNCIONAL — BrassIA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7" t="str">
        <x:v>Itens organizados por categoria, módulo, funcionalidade e subitem. Use os filtros da linha 5 para montar backlog, fases e responsabilidades.</x:v>
      </x:c>
      <x:c r="B2" s="7"/>
      <x:c r="C2" s="7"/>
      <x:c r="D2" s="7"/>
      <x:c r="E2" s="7"/>
      <x:c r="F2" s="7"/>
      <x:c r="G2" s="7"/>
      <x:c r="H2" s="7"/>
      <x:c r="I2" s="7"/>
    </x:row>
    <x:row r="3" ht="24" customHeight="1">
      <x:c r="A3" s="10" t="str">
        <x:v>TOTAL DE ITENS</x:v>
      </x:c>
      <x:c r="B3" s="10"/>
      <x:c r="C3" s="13" t="n">
        <x:f>COUNTA(A6:A1000)</x:f>
        <x:v>456</x:v>
      </x:c>
      <x:c r="D3" s="10" t="str">
        <x:v>TOTAL DE MÓDULOS</x:v>
      </x:c>
      <x:c r="E3" s="10"/>
      <x:c r="F3" s="10" t="n">
        <x:f>COUNTA('Mapa de Módulos'!B7:B100)</x:f>
        <x:v>35</x:v>
      </x:c>
      <x:c r="G3" s="10" t="str">
        <x:v>VERSÃO</x:v>
      </x:c>
      <x:c r="H3" s="10"/>
      <x:c r="I3" s="10" t="str">
        <x:v>v4.0</x:v>
      </x:c>
    </x:row>
    <x:row r="5" ht="26" customHeight="1">
      <x:c r="A5" s="23" t="str">
        <x:v>ID</x:v>
      </x:c>
      <x:c r="B5" s="23" t="str">
        <x:v>Categoria</x:v>
      </x:c>
      <x:c r="C5" s="23" t="str">
        <x:v>Módulo</x:v>
      </x:c>
      <x:c r="D5" s="23" t="str">
        <x:v>Funcionalidade</x:v>
      </x:c>
      <x:c r="E5" s="23" t="str">
        <x:v>Item / Subitem</x:v>
      </x:c>
      <x:c r="F5" s="23" t="str">
        <x:v>Descrição do escopo</x:v>
      </x:c>
      <x:c r="G5" s="23" t="str">
        <x:v>Fase</x:v>
      </x:c>
      <x:c r="H5" s="23" t="str">
        <x:v>Prioridade</x:v>
      </x:c>
      <x:c r="I5" s="23" t="str">
        <x:v>Perfil principal</x:v>
      </x:c>
    </x:row>
    <x:row r="6" ht="30" customHeight="1">
      <x:c r="A6" s="24" t="str">
        <x:v>DSH.01</x:v>
      </x:c>
      <x:c r="B6" s="25" t="str">
        <x:v>Gestão</x:v>
      </x:c>
      <x:c r="C6" s="25" t="str">
        <x:v>Dashboard e Home</x:v>
      </x:c>
      <x:c r="D6" s="18" t="str">
        <x:v>Visão geral</x:v>
      </x:c>
      <x:c r="E6" s="18" t="str">
        <x:v>Indicadores principais</x:v>
      </x:c>
      <x:c r="F6" s="18" t="str">
        <x:v>Exibir brassagens ativas, fermentações, estoque crítico, custo e alertas.</x:v>
      </x:c>
      <x:c r="G6" s="26" t="str">
        <x:v>MVP 1</x:v>
      </x:c>
      <x:c r="H6" s="26" t="str">
        <x:v>Importante</x:v>
      </x:c>
      <x:c r="I6" s="26" t="str">
        <x:v>Todos</x:v>
      </x:c>
    </x:row>
    <x:row r="7" ht="30" customHeight="1">
      <x:c r="A7" s="24" t="str">
        <x:v>DSH.02</x:v>
      </x:c>
      <x:c r="B7" s="25" t="str">
        <x:v>Gestão</x:v>
      </x:c>
      <x:c r="C7" s="25" t="str">
        <x:v>Dashboard e Home</x:v>
      </x:c>
      <x:c r="D7" s="18" t="str">
        <x:v>Visão geral</x:v>
      </x:c>
      <x:c r="E7" s="18" t="str">
        <x:v>Próximas atividades</x:v>
      </x:c>
      <x:c r="F7" s="18" t="str">
        <x:v>Listar adições, medições, transferências, envases e manutenções previstas.</x:v>
      </x:c>
      <x:c r="G7" s="26" t="str">
        <x:v>MVP 1</x:v>
      </x:c>
      <x:c r="H7" s="26" t="str">
        <x:v>Importante</x:v>
      </x:c>
      <x:c r="I7" s="26" t="str">
        <x:v>Todos</x:v>
      </x:c>
    </x:row>
    <x:row r="8" ht="30" customHeight="1">
      <x:c r="A8" s="24" t="str">
        <x:v>DSH.03</x:v>
      </x:c>
      <x:c r="B8" s="25" t="str">
        <x:v>Gestão</x:v>
      </x:c>
      <x:c r="C8" s="25" t="str">
        <x:v>Dashboard e Home</x:v>
      </x:c>
      <x:c r="D8" s="18" t="str">
        <x:v>Produção</x:v>
      </x:c>
      <x:c r="E8" s="18" t="str">
        <x:v>Lotes em andamento</x:v>
      </x:c>
      <x:c r="F8" s="18" t="str">
        <x:v>Mostrar etapa, progresso, responsável e tempo desde a última atualização.</x:v>
      </x:c>
      <x:c r="G8" s="26" t="str">
        <x:v>MVP 1</x:v>
      </x:c>
      <x:c r="H8" s="26" t="str">
        <x:v>Importante</x:v>
      </x:c>
      <x:c r="I8" s="26" t="str">
        <x:v>Todos</x:v>
      </x:c>
    </x:row>
    <x:row r="9" ht="30" customHeight="1">
      <x:c r="A9" s="24" t="str">
        <x:v>DSH.04</x:v>
      </x:c>
      <x:c r="B9" s="25" t="str">
        <x:v>Gestão</x:v>
      </x:c>
      <x:c r="C9" s="25" t="str">
        <x:v>Dashboard e Home</x:v>
      </x:c>
      <x:c r="D9" s="18" t="str">
        <x:v>Fermentação</x:v>
      </x:c>
      <x:c r="E9" s="18" t="str">
        <x:v>Curvas ativas</x:v>
      </x:c>
      <x:c r="F9" s="18" t="str">
        <x:v>Resumir temperatura, densidade, atenuação e tendência dos fermentadores.</x:v>
      </x:c>
      <x:c r="G9" s="26" t="str">
        <x:v>MVP 1</x:v>
      </x:c>
      <x:c r="H9" s="26" t="str">
        <x:v>Importante</x:v>
      </x:c>
      <x:c r="I9" s="26" t="str">
        <x:v>Todos</x:v>
      </x:c>
    </x:row>
    <x:row r="10" ht="30" customHeight="1">
      <x:c r="A10" s="24" t="str">
        <x:v>DSH.05</x:v>
      </x:c>
      <x:c r="B10" s="25" t="str">
        <x:v>Gestão</x:v>
      </x:c>
      <x:c r="C10" s="25" t="str">
        <x:v>Dashboard e Home</x:v>
      </x:c>
      <x:c r="D10" s="18" t="str">
        <x:v>Estoque</x:v>
      </x:c>
      <x:c r="E10" s="18" t="str">
        <x:v>Itens críticos</x:v>
      </x:c>
      <x:c r="F10" s="18" t="str">
        <x:v>Destacar ruptura, estoque mínimo, reservas e lotes próximos do vencimento.</x:v>
      </x:c>
      <x:c r="G10" s="26" t="str">
        <x:v>MVP 1</x:v>
      </x:c>
      <x:c r="H10" s="26" t="str">
        <x:v>Importante</x:v>
      </x:c>
      <x:c r="I10" s="26" t="str">
        <x:v>Todos</x:v>
      </x:c>
    </x:row>
    <x:row r="11" ht="30" customHeight="1">
      <x:c r="A11" s="24" t="str">
        <x:v>DSH.06</x:v>
      </x:c>
      <x:c r="B11" s="25" t="str">
        <x:v>Gestão</x:v>
      </x:c>
      <x:c r="C11" s="25" t="str">
        <x:v>Dashboard e Home</x:v>
      </x:c>
      <x:c r="D11" s="18" t="str">
        <x:v>Qualidade</x:v>
      </x:c>
      <x:c r="E11" s="18" t="str">
        <x:v>Desvios abertos</x:v>
      </x:c>
      <x:c r="F11" s="18" t="str">
        <x:v>Apresentar medições fora da faixa e ações corretivas pendentes.</x:v>
      </x:c>
      <x:c r="G11" s="26" t="str">
        <x:v>MVP 1</x:v>
      </x:c>
      <x:c r="H11" s="26" t="str">
        <x:v>Importante</x:v>
      </x:c>
      <x:c r="I11" s="26" t="str">
        <x:v>Todos</x:v>
      </x:c>
    </x:row>
    <x:row r="12" ht="30" customHeight="1">
      <x:c r="A12" s="24" t="str">
        <x:v>DSH.07</x:v>
      </x:c>
      <x:c r="B12" s="25" t="str">
        <x:v>Gestão</x:v>
      </x:c>
      <x:c r="C12" s="25" t="str">
        <x:v>Dashboard e Home</x:v>
      </x:c>
      <x:c r="D12" s="18" t="str">
        <x:v>Atalhos</x:v>
      </x:c>
      <x:c r="E12" s="18" t="str">
        <x:v>Ações rápidas</x:v>
      </x:c>
      <x:c r="F12" s="18" t="str">
        <x:v>Criar receita, liberar OP, registrar medição, movimentar estoque e iniciar envase.</x:v>
      </x:c>
      <x:c r="G12" s="26" t="str">
        <x:v>MVP 1</x:v>
      </x:c>
      <x:c r="H12" s="26" t="str">
        <x:v>Importante</x:v>
      </x:c>
      <x:c r="I12" s="26" t="str">
        <x:v>Todos</x:v>
      </x:c>
    </x:row>
    <x:row r="13" ht="30" customHeight="1">
      <x:c r="A13" s="24" t="str">
        <x:v>DSH.08</x:v>
      </x:c>
      <x:c r="B13" s="25" t="str">
        <x:v>Gestão</x:v>
      </x:c>
      <x:c r="C13" s="25" t="str">
        <x:v>Dashboard e Home</x:v>
      </x:c>
      <x:c r="D13" s="18" t="str">
        <x:v>Personalização</x:v>
      </x:c>
      <x:c r="E13" s="18" t="str">
        <x:v>Filtros e cartões</x:v>
      </x:c>
      <x:c r="F13" s="18" t="str">
        <x:v>Permitir filtrar por cervejaria, período, equipamento e status.</x:v>
      </x:c>
      <x:c r="G13" s="26" t="str">
        <x:v>MVP 1</x:v>
      </x:c>
      <x:c r="H13" s="26" t="str">
        <x:v>Importante</x:v>
      </x:c>
      <x:c r="I13" s="26" t="str">
        <x:v>Todos</x:v>
      </x:c>
    </x:row>
    <x:row r="14" ht="30" customHeight="1">
      <x:c r="A14" s="24" t="str">
        <x:v>BRW.01</x:v>
      </x:c>
      <x:c r="B14" s="25" t="str">
        <x:v>Configuração</x:v>
      </x:c>
      <x:c r="C14" s="25" t="str">
        <x:v>Cervejaria e Preferências</x:v>
      </x:c>
      <x:c r="D14" s="18" t="str">
        <x:v>Cadastro</x:v>
      </x:c>
      <x:c r="E14" s="18" t="str">
        <x:v>Dados da cervejaria</x:v>
      </x:c>
      <x:c r="F14" s="18" t="str">
        <x:v>Nome, documento, contatos, endereço, logotipo e responsáveis.</x:v>
      </x:c>
      <x:c r="G14" s="26" t="str">
        <x:v>MVP 1</x:v>
      </x:c>
      <x:c r="H14" s="26" t="str">
        <x:v>Essencial</x:v>
      </x:c>
      <x:c r="I14" s="26" t="str">
        <x:v>Administrador</x:v>
      </x:c>
    </x:row>
    <x:row r="15" ht="30" customHeight="1">
      <x:c r="A15" s="24" t="str">
        <x:v>BRW.02</x:v>
      </x:c>
      <x:c r="B15" s="25" t="str">
        <x:v>Configuração</x:v>
      </x:c>
      <x:c r="C15" s="25" t="str">
        <x:v>Cervejaria e Preferências</x:v>
      </x:c>
      <x:c r="D15" s="18" t="str">
        <x:v>Operação</x:v>
      </x:c>
      <x:c r="E15" s="18" t="str">
        <x:v>Fuso horário</x:v>
      </x:c>
      <x:c r="F15" s="18" t="str">
        <x:v>Definir fuso de exibição mantendo os eventos persistidos em UTC.</x:v>
      </x:c>
      <x:c r="G15" s="26" t="str">
        <x:v>MVP 1</x:v>
      </x:c>
      <x:c r="H15" s="26" t="str">
        <x:v>Essencial</x:v>
      </x:c>
      <x:c r="I15" s="26" t="str">
        <x:v>Administrador</x:v>
      </x:c>
    </x:row>
    <x:row r="16" ht="30" customHeight="1">
      <x:c r="A16" s="24" t="str">
        <x:v>BRW.03</x:v>
      </x:c>
      <x:c r="B16" s="25" t="str">
        <x:v>Configuração</x:v>
      </x:c>
      <x:c r="C16" s="25" t="str">
        <x:v>Cervejaria e Preferências</x:v>
      </x:c>
      <x:c r="D16" s="18" t="str">
        <x:v>Unidades</x:v>
      </x:c>
      <x:c r="E16" s="18" t="str">
        <x:v>Sistema de medidas</x:v>
      </x:c>
      <x:c r="F16" s="18" t="str">
        <x:v>Selecionar unidades padrão e regras de conversão para massa, volume e temperatura.</x:v>
      </x:c>
      <x:c r="G16" s="26" t="str">
        <x:v>MVP 1</x:v>
      </x:c>
      <x:c r="H16" s="26" t="str">
        <x:v>Essencial</x:v>
      </x:c>
      <x:c r="I16" s="26" t="str">
        <x:v>Administrador</x:v>
      </x:c>
    </x:row>
    <x:row r="17" ht="30" customHeight="1">
      <x:c r="A17" s="24" t="str">
        <x:v>BRW.04</x:v>
      </x:c>
      <x:c r="B17" s="25" t="str">
        <x:v>Configuração</x:v>
      </x:c>
      <x:c r="C17" s="25" t="str">
        <x:v>Cervejaria e Preferências</x:v>
      </x:c>
      <x:c r="D17" s="18" t="str">
        <x:v>Produção</x:v>
      </x:c>
      <x:c r="E17" s="18" t="str">
        <x:v>Limites operacionais</x:v>
      </x:c>
      <x:c r="F17" s="18" t="str">
        <x:v>Configurar tolerâncias globais para volume, densidade, pH e temperatura.</x:v>
      </x:c>
      <x:c r="G17" s="26" t="str">
        <x:v>MVP 1</x:v>
      </x:c>
      <x:c r="H17" s="26" t="str">
        <x:v>Essencial</x:v>
      </x:c>
      <x:c r="I17" s="26" t="str">
        <x:v>Administrador</x:v>
      </x:c>
    </x:row>
    <x:row r="18" ht="30" customHeight="1">
      <x:c r="A18" s="24" t="str">
        <x:v>BRW.05</x:v>
      </x:c>
      <x:c r="B18" s="25" t="str">
        <x:v>Configuração</x:v>
      </x:c>
      <x:c r="C18" s="25" t="str">
        <x:v>Cervejaria e Preferências</x:v>
      </x:c>
      <x:c r="D18" s="18" t="str">
        <x:v>Estoque</x:v>
      </x:c>
      <x:c r="E18" s="18" t="str">
        <x:v>Política de saldo</x:v>
      </x:c>
      <x:c r="F18" s="18" t="str">
        <x:v>Definir FEFO, estoque mínimo, bloqueio de saldo negativo e uso de vencidos.</x:v>
      </x:c>
      <x:c r="G18" s="26" t="str">
        <x:v>MVP 1</x:v>
      </x:c>
      <x:c r="H18" s="26" t="str">
        <x:v>Essencial</x:v>
      </x:c>
      <x:c r="I18" s="26" t="str">
        <x:v>Administrador</x:v>
      </x:c>
    </x:row>
    <x:row r="19" ht="30" customHeight="1">
      <x:c r="A19" s="24" t="str">
        <x:v>BRW.06</x:v>
      </x:c>
      <x:c r="B19" s="25" t="str">
        <x:v>Configuração</x:v>
      </x:c>
      <x:c r="C19" s="25" t="str">
        <x:v>Cervejaria e Preferências</x:v>
      </x:c>
      <x:c r="D19" s="18" t="str">
        <x:v>Custos</x:v>
      </x:c>
      <x:c r="E19" s="18" t="str">
        <x:v>Moeda e critérios</x:v>
      </x:c>
      <x:c r="F19" s="18" t="str">
        <x:v>Definir moeda, impostos, arredondamentos e rateio de custos indiretos.</x:v>
      </x:c>
      <x:c r="G19" s="26" t="str">
        <x:v>MVP 1</x:v>
      </x:c>
      <x:c r="H19" s="26" t="str">
        <x:v>Essencial</x:v>
      </x:c>
      <x:c r="I19" s="26" t="str">
        <x:v>Administrador</x:v>
      </x:c>
    </x:row>
    <x:row r="20" ht="30" customHeight="1">
      <x:c r="A20" s="24" t="str">
        <x:v>BRW.07</x:v>
      </x:c>
      <x:c r="B20" s="25" t="str">
        <x:v>Configuração</x:v>
      </x:c>
      <x:c r="C20" s="25" t="str">
        <x:v>Cervejaria e Preferências</x:v>
      </x:c>
      <x:c r="D20" s="18" t="str">
        <x:v>Identificação</x:v>
      </x:c>
      <x:c r="E20" s="18" t="str">
        <x:v>Padrão de códigos</x:v>
      </x:c>
      <x:c r="F20" s="18" t="str">
        <x:v>Configurar numeração de receita, OP, lote, embalagem e movimentação.</x:v>
      </x:c>
      <x:c r="G20" s="26" t="str">
        <x:v>MVP 1</x:v>
      </x:c>
      <x:c r="H20" s="26" t="str">
        <x:v>Essencial</x:v>
      </x:c>
      <x:c r="I20" s="26" t="str">
        <x:v>Administrador</x:v>
      </x:c>
    </x:row>
    <x:row r="21" ht="30" customHeight="1">
      <x:c r="A21" s="24" t="str">
        <x:v>BRW.08</x:v>
      </x:c>
      <x:c r="B21" s="25" t="str">
        <x:v>Configuração</x:v>
      </x:c>
      <x:c r="C21" s="25" t="str">
        <x:v>Cervejaria e Preferências</x:v>
      </x:c>
      <x:c r="D21" s="18" t="str">
        <x:v>Retenção</x:v>
      </x:c>
      <x:c r="E21" s="18" t="str">
        <x:v>Política de dados</x:v>
      </x:c>
      <x:c r="F21" s="18" t="str">
        <x:v>Definir retenção de logs, anexos, interações de IA e dados de sensores.</x:v>
      </x:c>
      <x:c r="G21" s="26" t="str">
        <x:v>MVP 1</x:v>
      </x:c>
      <x:c r="H21" s="26" t="str">
        <x:v>Essencial</x:v>
      </x:c>
      <x:c r="I21" s="26" t="str">
        <x:v>Administrador</x:v>
      </x:c>
    </x:row>
    <x:row r="22" ht="30" customHeight="1">
      <x:c r="A22" s="24" t="str">
        <x:v>SEC.01</x:v>
      </x:c>
      <x:c r="B22" s="25" t="str">
        <x:v>Configuração</x:v>
      </x:c>
      <x:c r="C22" s="25" t="str">
        <x:v>Segurança, Identidade e SSO</x:v>
      </x:c>
      <x:c r="D22" s="18" t="str">
        <x:v>Contas</x:v>
      </x:c>
      <x:c r="E22" s="18" t="str">
        <x:v>Usuários e ciclo da conta</x:v>
      </x:c>
      <x:c r="F22" s="18" t="str">
        <x:v>Cadastrar, convidar, verificar, ativar, bloquear, desbloquear e desativar; desativação revoga sessões.</x:v>
      </x:c>
      <x:c r="G22" s="26" t="str">
        <x:v>MVP 1</x:v>
      </x:c>
      <x:c r="H22" s="26" t="str">
        <x:v>Essencial</x:v>
      </x:c>
      <x:c r="I22" s="26" t="str">
        <x:v>Administrador de segurança</x:v>
      </x:c>
    </x:row>
    <x:row r="23" ht="30" customHeight="1">
      <x:c r="A23" s="24" t="str">
        <x:v>SEC.02</x:v>
      </x:c>
      <x:c r="B23" s="25" t="str">
        <x:v>Configuração</x:v>
      </x:c>
      <x:c r="C23" s="25" t="str">
        <x:v>Segurança, Identidade e SSO</x:v>
      </x:c>
      <x:c r="D23" s="18" t="str">
        <x:v>Contas</x:v>
      </x:c>
      <x:c r="E23" s="18" t="str">
        <x:v>Convite e verificação</x:v>
      </x:c>
      <x:c r="F23" s="18" t="str">
        <x:v>Token aleatório por hash, uso único, expiração, reenvio controlado e confirmação de e-mail.</x:v>
      </x:c>
      <x:c r="G23" s="26" t="str">
        <x:v>MVP 1</x:v>
      </x:c>
      <x:c r="H23" s="26" t="str">
        <x:v>Essencial</x:v>
      </x:c>
      <x:c r="I23" s="26" t="str">
        <x:v>Administrador de segurança</x:v>
      </x:c>
    </x:row>
    <x:row r="24" ht="30" customHeight="1">
      <x:c r="A24" s="24" t="str">
        <x:v>SEC.03</x:v>
      </x:c>
      <x:c r="B24" s="25" t="str">
        <x:v>Configuração</x:v>
      </x:c>
      <x:c r="C24" s="25" t="str">
        <x:v>Segurança, Identidade e SSO</x:v>
      </x:c>
      <x:c r="D24" s="18" t="str">
        <x:v>Autorização</x:v>
      </x:c>
      <x:c r="E24" s="18" t="str">
        <x:v>Grupos de acesso</x:v>
      </x:c>
      <x:c r="F24" s="18" t="str">
        <x:v>Grupos de sistema/customizados, associação de usuários, vigência e comparação de privilégios.</x:v>
      </x:c>
      <x:c r="G24" s="26" t="str">
        <x:v>MVP 1</x:v>
      </x:c>
      <x:c r="H24" s="26" t="str">
        <x:v>Essencial</x:v>
      </x:c>
      <x:c r="I24" s="26" t="str">
        <x:v>Administrador de segurança</x:v>
      </x:c>
    </x:row>
    <x:row r="25" ht="30" customHeight="1">
      <x:c r="A25" s="24" t="str">
        <x:v>SEC.04</x:v>
      </x:c>
      <x:c r="B25" s="25" t="str">
        <x:v>Configuração</x:v>
      </x:c>
      <x:c r="C25" s="25" t="str">
        <x:v>Segurança, Identidade e SSO</x:v>
      </x:c>
      <x:c r="D25" s="18" t="str">
        <x:v>Autorização</x:v>
      </x:c>
      <x:c r="E25" s="18" t="str">
        <x:v>Domínios e permissões</x:v>
      </x:c>
      <x:c r="F25" s="18" t="str">
        <x:v>Catálogo hierárquico de ações domínio.ação, criticidade, descrição e pesquisa de detentores.</x:v>
      </x:c>
      <x:c r="G25" s="26" t="str">
        <x:v>MVP 1</x:v>
      </x:c>
      <x:c r="H25" s="26" t="str">
        <x:v>Essencial</x:v>
      </x:c>
      <x:c r="I25" s="26" t="str">
        <x:v>Administrador de segurança</x:v>
      </x:c>
    </x:row>
    <x:row r="26" ht="30" customHeight="1">
      <x:c r="A26" s="24" t="str">
        <x:v>SEC.05</x:v>
      </x:c>
      <x:c r="B26" s="25" t="str">
        <x:v>Configuração</x:v>
      </x:c>
      <x:c r="C26" s="25" t="str">
        <x:v>Segurança, Identidade e SSO</x:v>
      </x:c>
      <x:c r="D26" s="18" t="str">
        <x:v>Autorização</x:v>
      </x:c>
      <x:c r="E26" s="18" t="str">
        <x:v>Escopos de acesso</x:v>
      </x:c>
      <x:c r="F26" s="18" t="str">
        <x:v>Limitar por cervejaria, módulo ou recurso; considerar ownership, estado e vigência.</x:v>
      </x:c>
      <x:c r="G26" s="26" t="str">
        <x:v>MVP 1</x:v>
      </x:c>
      <x:c r="H26" s="26" t="str">
        <x:v>Essencial</x:v>
      </x:c>
      <x:c r="I26" s="26" t="str">
        <x:v>Administrador de segurança</x:v>
      </x:c>
    </x:row>
    <x:row r="27" ht="30" customHeight="1">
      <x:c r="A27" s="24" t="str">
        <x:v>SEC.06</x:v>
      </x:c>
      <x:c r="B27" s="25" t="str">
        <x:v>Configuração</x:v>
      </x:c>
      <x:c r="C27" s="25" t="str">
        <x:v>Segurança, Identidade e SSO</x:v>
      </x:c>
      <x:c r="D27" s="18" t="str">
        <x:v>Evidências</x:v>
      </x:c>
      <x:c r="E27" s="18" t="str">
        <x:v>Histórico de login</x:v>
      </x:c>
      <x:c r="F27" s="18" t="str">
        <x:v>Registrar sucesso/falha, motivo seguro, instante, dispositivo e dados de origem pseudonimizados.</x:v>
      </x:c>
      <x:c r="G27" s="26" t="str">
        <x:v>MVP 1</x:v>
      </x:c>
      <x:c r="H27" s="26" t="str">
        <x:v>Essencial</x:v>
      </x:c>
      <x:c r="I27" s="26" t="str">
        <x:v>Administrador de segurança</x:v>
      </x:c>
    </x:row>
    <x:row r="28" ht="30" customHeight="1">
      <x:c r="A28" s="24" t="str">
        <x:v>SEC.07</x:v>
      </x:c>
      <x:c r="B28" s="25" t="str">
        <x:v>Configuração</x:v>
      </x:c>
      <x:c r="C28" s="25" t="str">
        <x:v>Segurança, Identidade e SSO</x:v>
      </x:c>
      <x:c r="D28" s="18" t="str">
        <x:v>Evidências</x:v>
      </x:c>
      <x:c r="E28" s="18" t="str">
        <x:v>Auditoria de segurança</x:v>
      </x:c>
      <x:c r="F28" s="18" t="str">
        <x:v>Evento append-only com ator, alvo, resultado, justificativa, trace e diff mascarado.</x:v>
      </x:c>
      <x:c r="G28" s="26" t="str">
        <x:v>MVP 1</x:v>
      </x:c>
      <x:c r="H28" s="26" t="str">
        <x:v>Essencial</x:v>
      </x:c>
      <x:c r="I28" s="26" t="str">
        <x:v>Administrador de segurança</x:v>
      </x:c>
    </x:row>
    <x:row r="29" ht="30" customHeight="1">
      <x:c r="A29" s="24" t="str">
        <x:v>SEC.08</x:v>
      </x:c>
      <x:c r="B29" s="25" t="str">
        <x:v>Configuração</x:v>
      </x:c>
      <x:c r="C29" s="25" t="str">
        <x:v>Segurança, Identidade e SSO</x:v>
      </x:c>
      <x:c r="D29" s="18" t="str">
        <x:v>Credenciais</x:v>
      </x:c>
      <x:c r="E29" s="18" t="str">
        <x:v>Política de senha</x:v>
      </x:c>
      <x:c r="F29" s="18" t="str">
        <x:v>Encoder adaptativo versionado, blocklist, frases/Unicode e upgrade transparente; sem expiração periódica padrão.</x:v>
      </x:c>
      <x:c r="G29" s="26" t="str">
        <x:v>MVP 1</x:v>
      </x:c>
      <x:c r="H29" s="26" t="str">
        <x:v>Essencial</x:v>
      </x:c>
      <x:c r="I29" s="26" t="str">
        <x:v>Administrador de segurança</x:v>
      </x:c>
    </x:row>
    <x:row r="30" ht="30" customHeight="1">
      <x:c r="A30" s="24" t="str">
        <x:v>EQP.01</x:v>
      </x:c>
      <x:c r="B30" s="25" t="str">
        <x:v>Configuração</x:v>
      </x:c>
      <x:c r="C30" s="25" t="str">
        <x:v>Equipamentos e Manutenção</x:v>
      </x:c>
      <x:c r="D30" s="18" t="str">
        <x:v>Cadastro</x:v>
      </x:c>
      <x:c r="E30" s="18" t="str">
        <x:v>Perfil de equipamento</x:v>
      </x:c>
      <x:c r="F30" s="18" t="str">
        <x:v>Nome, tipo, fabricante, modelo, patrimônio, localização e status.</x:v>
      </x:c>
      <x:c r="G30" s="26" t="str">
        <x:v>MVP 1</x:v>
      </x:c>
      <x:c r="H30" s="26" t="str">
        <x:v>Essencial</x:v>
      </x:c>
      <x:c r="I30" s="26" t="str">
        <x:v>Cervejeiro</x:v>
      </x:c>
    </x:row>
    <x:row r="31" ht="30" customHeight="1">
      <x:c r="A31" s="24" t="str">
        <x:v>EQP.02</x:v>
      </x:c>
      <x:c r="B31" s="25" t="str">
        <x:v>Configuração</x:v>
      </x:c>
      <x:c r="C31" s="25" t="str">
        <x:v>Equipamentos e Manutenção</x:v>
      </x:c>
      <x:c r="D31" s="18" t="str">
        <x:v>Capacidade</x:v>
      </x:c>
      <x:c r="E31" s="18" t="str">
        <x:v>Volumes úteis</x:v>
      </x:c>
      <x:c r="F31" s="18" t="str">
        <x:v>Registrar capacidade nominal, útil, mínima, headspace e margem de segurança.</x:v>
      </x:c>
      <x:c r="G31" s="26" t="str">
        <x:v>MVP 1</x:v>
      </x:c>
      <x:c r="H31" s="26" t="str">
        <x:v>Essencial</x:v>
      </x:c>
      <x:c r="I31" s="26" t="str">
        <x:v>Cervejeiro</x:v>
      </x:c>
    </x:row>
    <x:row r="32" ht="30" customHeight="1">
      <x:c r="A32" s="24" t="str">
        <x:v>EQP.03</x:v>
      </x:c>
      <x:c r="B32" s="25" t="str">
        <x:v>Configuração</x:v>
      </x:c>
      <x:c r="C32" s="25" t="str">
        <x:v>Equipamentos e Manutenção</x:v>
      </x:c>
      <x:c r="D32" s="18" t="str">
        <x:v>Perdas</x:v>
      </x:c>
      <x:c r="E32" s="18" t="str">
        <x:v>Mapa de perdas</x:v>
      </x:c>
      <x:c r="F32" s="18" t="str">
        <x:v>Configurar fundo falso, trub, mangueiras, transferência, fermentador e envase.</x:v>
      </x:c>
      <x:c r="G32" s="26" t="str">
        <x:v>MVP 1</x:v>
      </x:c>
      <x:c r="H32" s="26" t="str">
        <x:v>Essencial</x:v>
      </x:c>
      <x:c r="I32" s="26" t="str">
        <x:v>Cervejeiro</x:v>
      </x:c>
    </x:row>
    <x:row r="33" ht="30" customHeight="1">
      <x:c r="A33" s="24" t="str">
        <x:v>EQP.04</x:v>
      </x:c>
      <x:c r="B33" s="25" t="str">
        <x:v>Configuração</x:v>
      </x:c>
      <x:c r="C33" s="25" t="str">
        <x:v>Equipamentos e Manutenção</x:v>
      </x:c>
      <x:c r="D33" s="18" t="str">
        <x:v>Eficiência</x:v>
      </x:c>
      <x:c r="E33" s="18" t="str">
        <x:v>Eficiência histórica</x:v>
      </x:c>
      <x:c r="F33" s="18" t="str">
        <x:v>Definir eficiência padrão e manter curva por receita e volume.</x:v>
      </x:c>
      <x:c r="G33" s="26" t="str">
        <x:v>MVP 1</x:v>
      </x:c>
      <x:c r="H33" s="26" t="str">
        <x:v>Essencial</x:v>
      </x:c>
      <x:c r="I33" s="26" t="str">
        <x:v>Cervejeiro</x:v>
      </x:c>
    </x:row>
    <x:row r="34" ht="30" customHeight="1">
      <x:c r="A34" s="24" t="str">
        <x:v>EQP.05</x:v>
      </x:c>
      <x:c r="B34" s="25" t="str">
        <x:v>Configuração</x:v>
      </x:c>
      <x:c r="C34" s="25" t="str">
        <x:v>Equipamentos e Manutenção</x:v>
      </x:c>
      <x:c r="D34" s="18" t="str">
        <x:v>Fervura</x:v>
      </x:c>
      <x:c r="E34" s="18" t="str">
        <x:v>Taxa de evaporação</x:v>
      </x:c>
      <x:c r="F34" s="18" t="str">
        <x:v>Configurar L/h ou percentual e recalibrar com lotes reais.</x:v>
      </x:c>
      <x:c r="G34" s="26" t="str">
        <x:v>MVP 1</x:v>
      </x:c>
      <x:c r="H34" s="26" t="str">
        <x:v>Essencial</x:v>
      </x:c>
      <x:c r="I34" s="26" t="str">
        <x:v>Cervejeiro</x:v>
      </x:c>
    </x:row>
    <x:row r="35" ht="30" customHeight="1">
      <x:c r="A35" s="24" t="str">
        <x:v>EQP.06</x:v>
      </x:c>
      <x:c r="B35" s="25" t="str">
        <x:v>Configuração</x:v>
      </x:c>
      <x:c r="C35" s="25" t="str">
        <x:v>Equipamentos e Manutenção</x:v>
      </x:c>
      <x:c r="D35" s="18" t="str">
        <x:v>Mostura</x:v>
      </x:c>
      <x:c r="E35" s="18" t="str">
        <x:v>Parâmetros térmicos</x:v>
      </x:c>
      <x:c r="F35" s="18" t="str">
        <x:v>Massa térmica, potência, rampa, recirculação e precisão dos sensores.</x:v>
      </x:c>
      <x:c r="G35" s="26" t="str">
        <x:v>MVP 1</x:v>
      </x:c>
      <x:c r="H35" s="26" t="str">
        <x:v>Essencial</x:v>
      </x:c>
      <x:c r="I35" s="26" t="str">
        <x:v>Cervejeiro</x:v>
      </x:c>
    </x:row>
    <x:row r="36" ht="30" customHeight="1">
      <x:c r="A36" s="24" t="str">
        <x:v>EQP.07</x:v>
      </x:c>
      <x:c r="B36" s="25" t="str">
        <x:v>Configuração</x:v>
      </x:c>
      <x:c r="C36" s="25" t="str">
        <x:v>Equipamentos e Manutenção</x:v>
      </x:c>
      <x:c r="D36" s="18" t="str">
        <x:v>Perfil SB40</x:v>
      </x:c>
      <x:c r="E36" s="18" t="str">
        <x:v>SB40 Premium / 50 L</x:v>
      </x:c>
      <x:c r="F36" s="18" t="str">
        <x:v>Cadastrar limites, perdas, taxa de fervura e volumes validados do equipamento.</x:v>
      </x:c>
      <x:c r="G36" s="26" t="str">
        <x:v>MVP 1</x:v>
      </x:c>
      <x:c r="H36" s="26" t="str">
        <x:v>Essencial</x:v>
      </x:c>
      <x:c r="I36" s="26" t="str">
        <x:v>Cervejeiro</x:v>
      </x:c>
    </x:row>
    <x:row r="37" ht="30" customHeight="1">
      <x:c r="A37" s="24" t="str">
        <x:v>EQP.08</x:v>
      </x:c>
      <x:c r="B37" s="25" t="str">
        <x:v>Configuração</x:v>
      </x:c>
      <x:c r="C37" s="25" t="str">
        <x:v>Equipamentos e Manutenção</x:v>
      </x:c>
      <x:c r="D37" s="18" t="str">
        <x:v>Fermentadores</x:v>
      </x:c>
      <x:c r="E37" s="18" t="str">
        <x:v>Capacidade e pressão</x:v>
      </x:c>
      <x:c r="F37" s="18" t="str">
        <x:v>Volume útil, pressão máxima, válvulas, serpentina e capacidade de coleta de lama.</x:v>
      </x:c>
      <x:c r="G37" s="26" t="str">
        <x:v>MVP 1</x:v>
      </x:c>
      <x:c r="H37" s="26" t="str">
        <x:v>Essencial</x:v>
      </x:c>
      <x:c r="I37" s="26" t="str">
        <x:v>Cervejeiro</x:v>
      </x:c>
    </x:row>
    <x:row r="38" ht="30" customHeight="1">
      <x:c r="A38" s="24" t="str">
        <x:v>EQP.09</x:v>
      </x:c>
      <x:c r="B38" s="25" t="str">
        <x:v>Configuração</x:v>
      </x:c>
      <x:c r="C38" s="25" t="str">
        <x:v>Equipamentos e Manutenção</x:v>
      </x:c>
      <x:c r="D38" s="18" t="str">
        <x:v>Instrumentos</x:v>
      </x:c>
      <x:c r="E38" s="18" t="str">
        <x:v>Medidores vinculados</x:v>
      </x:c>
      <x:c r="F38" s="18" t="str">
        <x:v>Relacionar balança, pHmetro, refratômetro, densímetro, termômetro e medidor de vazão.</x:v>
      </x:c>
      <x:c r="G38" s="26" t="str">
        <x:v>MVP 1</x:v>
      </x:c>
      <x:c r="H38" s="26" t="str">
        <x:v>Essencial</x:v>
      </x:c>
      <x:c r="I38" s="26" t="str">
        <x:v>Cervejeiro</x:v>
      </x:c>
    </x:row>
    <x:row r="39" ht="30" customHeight="1">
      <x:c r="A39" s="24" t="str">
        <x:v>EQP.10</x:v>
      </x:c>
      <x:c r="B39" s="25" t="str">
        <x:v>Configuração</x:v>
      </x:c>
      <x:c r="C39" s="25" t="str">
        <x:v>Equipamentos e Manutenção</x:v>
      </x:c>
      <x:c r="D39" s="18" t="str">
        <x:v>Calibração</x:v>
      </x:c>
      <x:c r="E39" s="18" t="str">
        <x:v>Plano de calibração</x:v>
      </x:c>
      <x:c r="F39" s="18" t="str">
        <x:v>Periodicidade, solução padrão, resultado, certificado e próxima data.</x:v>
      </x:c>
      <x:c r="G39" s="26" t="str">
        <x:v>MVP 1</x:v>
      </x:c>
      <x:c r="H39" s="26" t="str">
        <x:v>Essencial</x:v>
      </x:c>
      <x:c r="I39" s="26" t="str">
        <x:v>Cervejeiro</x:v>
      </x:c>
    </x:row>
    <x:row r="40" ht="30" customHeight="1">
      <x:c r="A40" s="24" t="str">
        <x:v>EQP.11</x:v>
      </x:c>
      <x:c r="B40" s="25" t="str">
        <x:v>Configuração</x:v>
      </x:c>
      <x:c r="C40" s="25" t="str">
        <x:v>Equipamentos e Manutenção</x:v>
      </x:c>
      <x:c r="D40" s="18" t="str">
        <x:v>Manutenção</x:v>
      </x:c>
      <x:c r="E40" s="18" t="str">
        <x:v>Plano preventivo</x:v>
      </x:c>
      <x:c r="F40" s="18" t="str">
        <x:v>Criar tarefas por tempo, uso, brassagens ou condição observada.</x:v>
      </x:c>
      <x:c r="G40" s="26" t="str">
        <x:v>MVP 1</x:v>
      </x:c>
      <x:c r="H40" s="26" t="str">
        <x:v>Essencial</x:v>
      </x:c>
      <x:c r="I40" s="26" t="str">
        <x:v>Cervejeiro</x:v>
      </x:c>
    </x:row>
    <x:row r="41" ht="30" customHeight="1">
      <x:c r="A41" s="24" t="str">
        <x:v>EQP.12</x:v>
      </x:c>
      <x:c r="B41" s="25" t="str">
        <x:v>Configuração</x:v>
      </x:c>
      <x:c r="C41" s="25" t="str">
        <x:v>Equipamentos e Manutenção</x:v>
      </x:c>
      <x:c r="D41" s="18" t="str">
        <x:v>Indisponibilidade</x:v>
      </x:c>
      <x:c r="E41" s="18" t="str">
        <x:v>Bloqueio operacional</x:v>
      </x:c>
      <x:c r="F41" s="18" t="str">
        <x:v>Impedir planejamento quando equipamento estiver em manutenção ou reservado.</x:v>
      </x:c>
      <x:c r="G41" s="26" t="str">
        <x:v>MVP 1</x:v>
      </x:c>
      <x:c r="H41" s="26" t="str">
        <x:v>Essencial</x:v>
      </x:c>
      <x:c r="I41" s="26" t="str">
        <x:v>Cervejeiro</x:v>
      </x:c>
    </x:row>
    <x:row r="42" ht="30" customHeight="1">
      <x:c r="A42" s="24" t="str">
        <x:v>STY.01</x:v>
      </x:c>
      <x:c r="B42" s="25" t="str">
        <x:v>Catálogos</x:v>
      </x:c>
      <x:c r="C42" s="25" t="str">
        <x:v>Estilos Cervejeiros</x:v>
      </x:c>
      <x:c r="D42" s="18" t="str">
        <x:v>Catálogo</x:v>
      </x:c>
      <x:c r="E42" s="18" t="str">
        <x:v>Cadastrar guia</x:v>
      </x:c>
      <x:c r="F42" s="18" t="str">
        <x:v>Registrar guia, edição, categoria, subcategoria e origem da referência.</x:v>
      </x:c>
      <x:c r="G42" s="26" t="str">
        <x:v>MVP 1</x:v>
      </x:c>
      <x:c r="H42" s="26" t="str">
        <x:v>Importante</x:v>
      </x:c>
      <x:c r="I42" s="26" t="str">
        <x:v>Cervejeiro</x:v>
      </x:c>
    </x:row>
    <x:row r="43" ht="30" customHeight="1">
      <x:c r="A43" s="24" t="str">
        <x:v>STY.02</x:v>
      </x:c>
      <x:c r="B43" s="25" t="str">
        <x:v>Catálogos</x:v>
      </x:c>
      <x:c r="C43" s="25" t="str">
        <x:v>Estilos Cervejeiros</x:v>
      </x:c>
      <x:c r="D43" s="18" t="str">
        <x:v>Parâmetros</x:v>
      </x:c>
      <x:c r="E43" s="18" t="str">
        <x:v>Faixas do estilo</x:v>
      </x:c>
      <x:c r="F43" s="18" t="str">
        <x:v>OG, FG, ABV, IBU, cor, carbonatação e atenuação esperadas.</x:v>
      </x:c>
      <x:c r="G43" s="26" t="str">
        <x:v>MVP 1</x:v>
      </x:c>
      <x:c r="H43" s="26" t="str">
        <x:v>Importante</x:v>
      </x:c>
      <x:c r="I43" s="26" t="str">
        <x:v>Cervejeiro</x:v>
      </x:c>
    </x:row>
    <x:row r="44" ht="30" customHeight="1">
      <x:c r="A44" s="24" t="str">
        <x:v>STY.03</x:v>
      </x:c>
      <x:c r="B44" s="25" t="str">
        <x:v>Catálogos</x:v>
      </x:c>
      <x:c r="C44" s="25" t="str">
        <x:v>Estilos Cervejeiros</x:v>
      </x:c>
      <x:c r="D44" s="18" t="str">
        <x:v>Sensorial</x:v>
      </x:c>
      <x:c r="E44" s="18" t="str">
        <x:v>Perfil esperado</x:v>
      </x:c>
      <x:c r="F44" s="18" t="str">
        <x:v>Aroma, sabor, aparência, sensação de boca e impressão geral.</x:v>
      </x:c>
      <x:c r="G44" s="26" t="str">
        <x:v>MVP 1</x:v>
      </x:c>
      <x:c r="H44" s="26" t="str">
        <x:v>Importante</x:v>
      </x:c>
      <x:c r="I44" s="26" t="str">
        <x:v>Cervejeiro</x:v>
      </x:c>
    </x:row>
    <x:row r="45" ht="30" customHeight="1">
      <x:c r="A45" s="24" t="str">
        <x:v>STY.04</x:v>
      </x:c>
      <x:c r="B45" s="25" t="str">
        <x:v>Catálogos</x:v>
      </x:c>
      <x:c r="C45" s="25" t="str">
        <x:v>Estilos Cervejeiros</x:v>
      </x:c>
      <x:c r="D45" s="18" t="str">
        <x:v>Ingredientes</x:v>
      </x:c>
      <x:c r="E45" s="18" t="str">
        <x:v>Características típicas</x:v>
      </x:c>
      <x:c r="F45" s="18" t="str">
        <x:v>Registrar insumos e processos comuns sem limitar a criatividade da receita.</x:v>
      </x:c>
      <x:c r="G45" s="26" t="str">
        <x:v>MVP 1</x:v>
      </x:c>
      <x:c r="H45" s="26" t="str">
        <x:v>Importante</x:v>
      </x:c>
      <x:c r="I45" s="26" t="str">
        <x:v>Cervejeiro</x:v>
      </x:c>
    </x:row>
    <x:row r="46" ht="30" customHeight="1">
      <x:c r="A46" s="24" t="str">
        <x:v>STY.05</x:v>
      </x:c>
      <x:c r="B46" s="25" t="str">
        <x:v>Catálogos</x:v>
      </x:c>
      <x:c r="C46" s="25" t="str">
        <x:v>Estilos Cervejeiros</x:v>
      </x:c>
      <x:c r="D46" s="18" t="str">
        <x:v>Comparação</x:v>
      </x:c>
      <x:c r="E46" s="18" t="str">
        <x:v>Conformidade automática</x:v>
      </x:c>
      <x:c r="F46" s="18" t="str">
        <x:v>Comparar metas da receita e resultado do lote com as faixas do estilo.</x:v>
      </x:c>
      <x:c r="G46" s="26" t="str">
        <x:v>MVP 1</x:v>
      </x:c>
      <x:c r="H46" s="26" t="str">
        <x:v>Importante</x:v>
      </x:c>
      <x:c r="I46" s="26" t="str">
        <x:v>Cervejeiro</x:v>
      </x:c>
    </x:row>
    <x:row r="47" ht="30" customHeight="1">
      <x:c r="A47" s="24" t="str">
        <x:v>STY.06</x:v>
      </x:c>
      <x:c r="B47" s="25" t="str">
        <x:v>Catálogos</x:v>
      </x:c>
      <x:c r="C47" s="25" t="str">
        <x:v>Estilos Cervejeiros</x:v>
      </x:c>
      <x:c r="D47" s="18" t="str">
        <x:v>Personalização</x:v>
      </x:c>
      <x:c r="E47" s="18" t="str">
        <x:v>Estilo interno</x:v>
      </x:c>
      <x:c r="F47" s="18" t="str">
        <x:v>Criar estilos próprios, sazonais ou experimentais.</x:v>
      </x:c>
      <x:c r="G47" s="26" t="str">
        <x:v>MVP 1</x:v>
      </x:c>
      <x:c r="H47" s="26" t="str">
        <x:v>Importante</x:v>
      </x:c>
      <x:c r="I47" s="26" t="str">
        <x:v>Cervejeiro</x:v>
      </x:c>
    </x:row>
    <x:row r="48" ht="30" customHeight="1">
      <x:c r="A48" s="24" t="str">
        <x:v>STY.07</x:v>
      </x:c>
      <x:c r="B48" s="25" t="str">
        <x:v>Catálogos</x:v>
      </x:c>
      <x:c r="C48" s="25" t="str">
        <x:v>Estilos Cervejeiros</x:v>
      </x:c>
      <x:c r="D48" s="18" t="str">
        <x:v>Versionamento</x:v>
      </x:c>
      <x:c r="E48" s="18" t="str">
        <x:v>Atualização do guia</x:v>
      </x:c>
      <x:c r="F48" s="18" t="str">
        <x:v>Preservar a referência usada em receitas e avaliações antigas.</x:v>
      </x:c>
      <x:c r="G48" s="26" t="str">
        <x:v>MVP 1</x:v>
      </x:c>
      <x:c r="H48" s="26" t="str">
        <x:v>Importante</x:v>
      </x:c>
      <x:c r="I48" s="26" t="str">
        <x:v>Cervejeiro</x:v>
      </x:c>
    </x:row>
    <x:row r="49" ht="30" customHeight="1">
      <x:c r="A49" s="24" t="str">
        <x:v>STY.08</x:v>
      </x:c>
      <x:c r="B49" s="25" t="str">
        <x:v>Catálogos</x:v>
      </x:c>
      <x:c r="C49" s="25" t="str">
        <x:v>Estilos Cervejeiros</x:v>
      </x:c>
      <x:c r="D49" s="18" t="str">
        <x:v>Importação</x:v>
      </x:c>
      <x:c r="E49" s="18" t="str">
        <x:v>Carga de estilos</x:v>
      </x:c>
      <x:c r="F49" s="18" t="str">
        <x:v>Importar catálogo estruturado sem sobrescrever personalizações.</x:v>
      </x:c>
      <x:c r="G49" s="26" t="str">
        <x:v>MVP 1</x:v>
      </x:c>
      <x:c r="H49" s="26" t="str">
        <x:v>Importante</x:v>
      </x:c>
      <x:c r="I49" s="26" t="str">
        <x:v>Cervejeiro</x:v>
      </x:c>
    </x:row>
    <x:row r="50" ht="30" customHeight="1">
      <x:c r="A50" s="24" t="str">
        <x:v>ING.01</x:v>
      </x:c>
      <x:c r="B50" s="25" t="str">
        <x:v>Catálogos</x:v>
      </x:c>
      <x:c r="C50" s="25" t="str">
        <x:v>Ingredientes e Materiais</x:v>
      </x:c>
      <x:c r="D50" s="18" t="str">
        <x:v>Maltes</x:v>
      </x:c>
      <x:c r="E50" s="18" t="str">
        <x:v>Dados básicos</x:v>
      </x:c>
      <x:c r="F50" s="18" t="str">
        <x:v>Fabricante, variedade, origem, tipo, cor, potencial, umidade e proteína.</x:v>
      </x:c>
      <x:c r="G50" s="26" t="str">
        <x:v>MVP 1</x:v>
      </x:c>
      <x:c r="H50" s="26" t="str">
        <x:v>Essencial</x:v>
      </x:c>
      <x:c r="I50" s="26" t="str">
        <x:v>Cervejeiro / Estoque</x:v>
      </x:c>
    </x:row>
    <x:row r="51" ht="30" customHeight="1">
      <x:c r="A51" s="24" t="str">
        <x:v>ING.02</x:v>
      </x:c>
      <x:c r="B51" s="25" t="str">
        <x:v>Catálogos</x:v>
      </x:c>
      <x:c r="C51" s="25" t="str">
        <x:v>Ingredientes e Materiais</x:v>
      </x:c>
      <x:c r="D51" s="18" t="str">
        <x:v>Maltes</x:v>
      </x:c>
      <x:c r="E51" s="18" t="str">
        <x:v>Parâmetros avançados</x:v>
      </x:c>
      <x:c r="F51" s="18" t="str">
        <x:v>Poder diastático, FAN, rendimento, extrato, moagem e notas sensoriais.</x:v>
      </x:c>
      <x:c r="G51" s="26" t="str">
        <x:v>MVP 1</x:v>
      </x:c>
      <x:c r="H51" s="26" t="str">
        <x:v>Essencial</x:v>
      </x:c>
      <x:c r="I51" s="26" t="str">
        <x:v>Cervejeiro / Estoque</x:v>
      </x:c>
    </x:row>
    <x:row r="52" ht="30" customHeight="1">
      <x:c r="A52" s="24" t="str">
        <x:v>ING.03</x:v>
      </x:c>
      <x:c r="B52" s="25" t="str">
        <x:v>Catálogos</x:v>
      </x:c>
      <x:c r="C52" s="25" t="str">
        <x:v>Ingredientes e Materiais</x:v>
      </x:c>
      <x:c r="D52" s="18" t="str">
        <x:v>Maltes</x:v>
      </x:c>
      <x:c r="E52" s="18" t="str">
        <x:v>Substitutos</x:v>
      </x:c>
      <x:c r="F52" s="18" t="str">
        <x:v>Relacionar alternativas equivalentes e impacto esperado na receita.</x:v>
      </x:c>
      <x:c r="G52" s="26" t="str">
        <x:v>MVP 1</x:v>
      </x:c>
      <x:c r="H52" s="26" t="str">
        <x:v>Essencial</x:v>
      </x:c>
      <x:c r="I52" s="26" t="str">
        <x:v>Cervejeiro / Estoque</x:v>
      </x:c>
    </x:row>
    <x:row r="53" ht="30" customHeight="1">
      <x:c r="A53" s="24" t="str">
        <x:v>ING.04</x:v>
      </x:c>
      <x:c r="B53" s="25" t="str">
        <x:v>Catálogos</x:v>
      </x:c>
      <x:c r="C53" s="25" t="str">
        <x:v>Ingredientes e Materiais</x:v>
      </x:c>
      <x:c r="D53" s="18" t="str">
        <x:v>Lúpulos</x:v>
      </x:c>
      <x:c r="E53" s="18" t="str">
        <x:v>Dados básicos</x:v>
      </x:c>
      <x:c r="F53" s="18" t="str">
        <x:v>Variedade, origem, forma, safra, alfa/beta ácido e cohumulona.</x:v>
      </x:c>
      <x:c r="G53" s="26" t="str">
        <x:v>MVP 1</x:v>
      </x:c>
      <x:c r="H53" s="26" t="str">
        <x:v>Essencial</x:v>
      </x:c>
      <x:c r="I53" s="26" t="str">
        <x:v>Cervejeiro / Estoque</x:v>
      </x:c>
    </x:row>
    <x:row r="54" ht="30" customHeight="1">
      <x:c r="A54" s="24" t="str">
        <x:v>ING.05</x:v>
      </x:c>
      <x:c r="B54" s="25" t="str">
        <x:v>Catálogos</x:v>
      </x:c>
      <x:c r="C54" s="25" t="str">
        <x:v>Ingredientes e Materiais</x:v>
      </x:c>
      <x:c r="D54" s="18" t="str">
        <x:v>Lúpulos</x:v>
      </x:c>
      <x:c r="E54" s="18" t="str">
        <x:v>Perfil aromático</x:v>
      </x:c>
      <x:c r="F54" s="18" t="str">
        <x:v>Descritores, intensidade, uso indicado e possíveis substitutos.</x:v>
      </x:c>
      <x:c r="G54" s="26" t="str">
        <x:v>MVP 1</x:v>
      </x:c>
      <x:c r="H54" s="26" t="str">
        <x:v>Essencial</x:v>
      </x:c>
      <x:c r="I54" s="26" t="str">
        <x:v>Cervejeiro / Estoque</x:v>
      </x:c>
    </x:row>
    <x:row r="55" ht="30" customHeight="1">
      <x:c r="A55" s="24" t="str">
        <x:v>ING.06</x:v>
      </x:c>
      <x:c r="B55" s="25" t="str">
        <x:v>Catálogos</x:v>
      </x:c>
      <x:c r="C55" s="25" t="str">
        <x:v>Ingredientes e Materiais</x:v>
      </x:c>
      <x:c r="D55" s="18" t="str">
        <x:v>Lúpulos</x:v>
      </x:c>
      <x:c r="E55" s="18" t="str">
        <x:v>Armazenamento</x:v>
      </x:c>
      <x:c r="F55" s="18" t="str">
        <x:v>HSI quando disponível, embalagem, atmosfera e condição recomendada.</x:v>
      </x:c>
      <x:c r="G55" s="26" t="str">
        <x:v>MVP 1</x:v>
      </x:c>
      <x:c r="H55" s="26" t="str">
        <x:v>Essencial</x:v>
      </x:c>
      <x:c r="I55" s="26" t="str">
        <x:v>Cervejeiro / Estoque</x:v>
      </x:c>
    </x:row>
    <x:row r="56" ht="30" customHeight="1">
      <x:c r="A56" s="24" t="str">
        <x:v>ING.07</x:v>
      </x:c>
      <x:c r="B56" s="25" t="str">
        <x:v>Catálogos</x:v>
      </x:c>
      <x:c r="C56" s="25" t="str">
        <x:v>Ingredientes e Materiais</x:v>
      </x:c>
      <x:c r="D56" s="18" t="str">
        <x:v>Leveduras</x:v>
      </x:c>
      <x:c r="E56" s="18" t="str">
        <x:v>Dados básicos</x:v>
      </x:c>
      <x:c r="F56" s="18" t="str">
        <x:v>Laboratório, cepa, forma, atenuação, floculação e tolerância alcoólica.</x:v>
      </x:c>
      <x:c r="G56" s="26" t="str">
        <x:v>MVP 1</x:v>
      </x:c>
      <x:c r="H56" s="26" t="str">
        <x:v>Essencial</x:v>
      </x:c>
      <x:c r="I56" s="26" t="str">
        <x:v>Cervejeiro / Estoque</x:v>
      </x:c>
    </x:row>
    <x:row r="57" ht="30" customHeight="1">
      <x:c r="A57" s="24" t="str">
        <x:v>ING.08</x:v>
      </x:c>
      <x:c r="B57" s="25" t="str">
        <x:v>Catálogos</x:v>
      </x:c>
      <x:c r="C57" s="25" t="str">
        <x:v>Ingredientes e Materiais</x:v>
      </x:c>
      <x:c r="D57" s="18" t="str">
        <x:v>Leveduras</x:v>
      </x:c>
      <x:c r="E57" s="18" t="str">
        <x:v>Faixa operacional</x:v>
      </x:c>
      <x:c r="F57" s="18" t="str">
        <x:v>Temperatura, pressão, pitch rate, vitalidade e gerações máximas.</x:v>
      </x:c>
      <x:c r="G57" s="26" t="str">
        <x:v>MVP 1</x:v>
      </x:c>
      <x:c r="H57" s="26" t="str">
        <x:v>Essencial</x:v>
      </x:c>
      <x:c r="I57" s="26" t="str">
        <x:v>Cervejeiro / Estoque</x:v>
      </x:c>
    </x:row>
    <x:row r="58" ht="30" customHeight="1">
      <x:c r="A58" s="24" t="str">
        <x:v>ING.09</x:v>
      </x:c>
      <x:c r="B58" s="25" t="str">
        <x:v>Catálogos</x:v>
      </x:c>
      <x:c r="C58" s="25" t="str">
        <x:v>Ingredientes e Materiais</x:v>
      </x:c>
      <x:c r="D58" s="18" t="str">
        <x:v>Leveduras</x:v>
      </x:c>
      <x:c r="E58" s="18" t="str">
        <x:v>Perfil sensorial</x:v>
      </x:c>
      <x:c r="F58" s="18" t="str">
        <x:v>Ésteres, fenóis, enxofre, diacetil e estilos indicados.</x:v>
      </x:c>
      <x:c r="G58" s="26" t="str">
        <x:v>MVP 1</x:v>
      </x:c>
      <x:c r="H58" s="26" t="str">
        <x:v>Essencial</x:v>
      </x:c>
      <x:c r="I58" s="26" t="str">
        <x:v>Cervejeiro / Estoque</x:v>
      </x:c>
    </x:row>
    <x:row r="59" ht="30" customHeight="1">
      <x:c r="A59" s="24" t="str">
        <x:v>ING.10</x:v>
      </x:c>
      <x:c r="B59" s="25" t="str">
        <x:v>Catálogos</x:v>
      </x:c>
      <x:c r="C59" s="25" t="str">
        <x:v>Ingredientes e Materiais</x:v>
      </x:c>
      <x:c r="D59" s="18" t="str">
        <x:v>Água</x:v>
      </x:c>
      <x:c r="E59" s="18" t="str">
        <x:v>Sais minerais</x:v>
      </x:c>
      <x:c r="F59" s="18" t="str">
        <x:v>Gesso, cloreto de cálcio, sulfato de magnésio, bicarbonatos e outros sais.</x:v>
      </x:c>
      <x:c r="G59" s="26" t="str">
        <x:v>MVP 1</x:v>
      </x:c>
      <x:c r="H59" s="26" t="str">
        <x:v>Essencial</x:v>
      </x:c>
      <x:c r="I59" s="26" t="str">
        <x:v>Cervejeiro / Estoque</x:v>
      </x:c>
    </x:row>
    <x:row r="60" ht="30" customHeight="1">
      <x:c r="A60" s="24" t="str">
        <x:v>ING.11</x:v>
      </x:c>
      <x:c r="B60" s="25" t="str">
        <x:v>Catálogos</x:v>
      </x:c>
      <x:c r="C60" s="25" t="str">
        <x:v>Ingredientes e Materiais</x:v>
      </x:c>
      <x:c r="D60" s="18" t="str">
        <x:v>Água</x:v>
      </x:c>
      <x:c r="E60" s="18" t="str">
        <x:v>Ácidos e bases</x:v>
      </x:c>
      <x:c r="F60" s="18" t="str">
        <x:v>Ácido lático/fosfórico, concentração, densidade e cuidados de uso.</x:v>
      </x:c>
      <x:c r="G60" s="26" t="str">
        <x:v>MVP 1</x:v>
      </x:c>
      <x:c r="H60" s="26" t="str">
        <x:v>Essencial</x:v>
      </x:c>
      <x:c r="I60" s="26" t="str">
        <x:v>Cervejeiro / Estoque</x:v>
      </x:c>
    </x:row>
    <x:row r="61" ht="30" customHeight="1">
      <x:c r="A61" s="24" t="str">
        <x:v>ING.12</x:v>
      </x:c>
      <x:c r="B61" s="25" t="str">
        <x:v>Catálogos</x:v>
      </x:c>
      <x:c r="C61" s="25" t="str">
        <x:v>Ingredientes e Materiais</x:v>
      </x:c>
      <x:c r="D61" s="18" t="str">
        <x:v>Adjuntos</x:v>
      </x:c>
      <x:c r="E61" s="18" t="str">
        <x:v>Fermentáveis</x:v>
      </x:c>
      <x:c r="F61" s="18" t="str">
        <x:v>Açúcares, frutas, mel, extratos e rendimento fermentescível.</x:v>
      </x:c>
      <x:c r="G61" s="26" t="str">
        <x:v>MVP 1</x:v>
      </x:c>
      <x:c r="H61" s="26" t="str">
        <x:v>Essencial</x:v>
      </x:c>
      <x:c r="I61" s="26" t="str">
        <x:v>Cervejeiro / Estoque</x:v>
      </x:c>
    </x:row>
    <x:row r="62" ht="30" customHeight="1">
      <x:c r="A62" s="24" t="str">
        <x:v>ING.13</x:v>
      </x:c>
      <x:c r="B62" s="25" t="str">
        <x:v>Catálogos</x:v>
      </x:c>
      <x:c r="C62" s="25" t="str">
        <x:v>Ingredientes e Materiais</x:v>
      </x:c>
      <x:c r="D62" s="18" t="str">
        <x:v>Adjuntos</x:v>
      </x:c>
      <x:c r="E62" s="18" t="str">
        <x:v>Especiarias e saborizantes</x:v>
      </x:c>
      <x:c r="F62" s="18" t="str">
        <x:v>Forma, intensidade, ponto de adição e risco de contaminação.</x:v>
      </x:c>
      <x:c r="G62" s="26" t="str">
        <x:v>MVP 1</x:v>
      </x:c>
      <x:c r="H62" s="26" t="str">
        <x:v>Essencial</x:v>
      </x:c>
      <x:c r="I62" s="26" t="str">
        <x:v>Cervejeiro / Estoque</x:v>
      </x:c>
    </x:row>
    <x:row r="63" ht="30" customHeight="1">
      <x:c r="A63" s="24" t="str">
        <x:v>ING.14</x:v>
      </x:c>
      <x:c r="B63" s="25" t="str">
        <x:v>Catálogos</x:v>
      </x:c>
      <x:c r="C63" s="25" t="str">
        <x:v>Ingredientes e Materiais</x:v>
      </x:c>
      <x:c r="D63" s="18" t="str">
        <x:v>Processo</x:v>
      </x:c>
      <x:c r="E63" s="18" t="str">
        <x:v>Clarificantes e enzimas</x:v>
      </x:c>
      <x:c r="F63" s="18" t="str">
        <x:v>Dosagem, temperatura, tempo, finalidade e restrições.</x:v>
      </x:c>
      <x:c r="G63" s="26" t="str">
        <x:v>MVP 1</x:v>
      </x:c>
      <x:c r="H63" s="26" t="str">
        <x:v>Essencial</x:v>
      </x:c>
      <x:c r="I63" s="26" t="str">
        <x:v>Cervejeiro / Estoque</x:v>
      </x:c>
    </x:row>
    <x:row r="64" ht="30" customHeight="1">
      <x:c r="A64" s="24" t="str">
        <x:v>ING.15</x:v>
      </x:c>
      <x:c r="B64" s="25" t="str">
        <x:v>Catálogos</x:v>
      </x:c>
      <x:c r="C64" s="25" t="str">
        <x:v>Ingredientes e Materiais</x:v>
      </x:c>
      <x:c r="D64" s="18" t="str">
        <x:v>Gases</x:v>
      </x:c>
      <x:c r="E64" s="18" t="str">
        <x:v>CO₂ e misturas</x:v>
      </x:c>
      <x:c r="F64" s="18" t="str">
        <x:v>Pureza, fornecedor, cilindro, aplicação e custo.</x:v>
      </x:c>
      <x:c r="G64" s="26" t="str">
        <x:v>MVP 1</x:v>
      </x:c>
      <x:c r="H64" s="26" t="str">
        <x:v>Essencial</x:v>
      </x:c>
      <x:c r="I64" s="26" t="str">
        <x:v>Cervejeiro / Estoque</x:v>
      </x:c>
    </x:row>
    <x:row r="65" ht="30" customHeight="1">
      <x:c r="A65" s="24" t="str">
        <x:v>ING.16</x:v>
      </x:c>
      <x:c r="B65" s="25" t="str">
        <x:v>Catálogos</x:v>
      </x:c>
      <x:c r="C65" s="25" t="str">
        <x:v>Ingredientes e Materiais</x:v>
      </x:c>
      <x:c r="D65" s="18" t="str">
        <x:v>Embalagens</x:v>
      </x:c>
      <x:c r="E65" s="18" t="str">
        <x:v>Garrafas, latas e barris</x:v>
      </x:c>
      <x:c r="F65" s="18" t="str">
        <x:v>Volume, tara, pressão, fechamento, validade e reutilização.</x:v>
      </x:c>
      <x:c r="G65" s="26" t="str">
        <x:v>MVP 1</x:v>
      </x:c>
      <x:c r="H65" s="26" t="str">
        <x:v>Essencial</x:v>
      </x:c>
      <x:c r="I65" s="26" t="str">
        <x:v>Cervejeiro / Estoque</x:v>
      </x:c>
    </x:row>
    <x:row r="66" ht="30" customHeight="1">
      <x:c r="A66" s="24" t="str">
        <x:v>ING.17</x:v>
      </x:c>
      <x:c r="B66" s="25" t="str">
        <x:v>Catálogos</x:v>
      </x:c>
      <x:c r="C66" s="25" t="str">
        <x:v>Ingredientes e Materiais</x:v>
      </x:c>
      <x:c r="D66" s="18" t="str">
        <x:v>Unidades</x:v>
      </x:c>
      <x:c r="E66" s="18" t="str">
        <x:v>Conversões e densidade</x:v>
      </x:c>
      <x:c r="F66" s="18" t="str">
        <x:v>Definir unidade de compra, estoque, receita e fatores de conversão.</x:v>
      </x:c>
      <x:c r="G66" s="26" t="str">
        <x:v>MVP 1</x:v>
      </x:c>
      <x:c r="H66" s="26" t="str">
        <x:v>Essencial</x:v>
      </x:c>
      <x:c r="I66" s="26" t="str">
        <x:v>Cervejeiro / Estoque</x:v>
      </x:c>
    </x:row>
    <x:row r="67" ht="30" customHeight="1">
      <x:c r="A67" s="24" t="str">
        <x:v>ING.18</x:v>
      </x:c>
      <x:c r="B67" s="25" t="str">
        <x:v>Catálogos</x:v>
      </x:c>
      <x:c r="C67" s="25" t="str">
        <x:v>Ingredientes e Materiais</x:v>
      </x:c>
      <x:c r="D67" s="18" t="str">
        <x:v>Documentos</x:v>
      </x:c>
      <x:c r="E67" s="18" t="str">
        <x:v>Ficha técnica e laudos</x:v>
      </x:c>
      <x:c r="F67" s="18" t="str">
        <x:v>Anexar especificação, certificado, alérgenos e laudos do fabricante.</x:v>
      </x:c>
      <x:c r="G67" s="26" t="str">
        <x:v>MVP 1</x:v>
      </x:c>
      <x:c r="H67" s="26" t="str">
        <x:v>Essencial</x:v>
      </x:c>
      <x:c r="I67" s="26" t="str">
        <x:v>Cervejeiro / Estoque</x:v>
      </x:c>
    </x:row>
    <x:row r="68" ht="30" customHeight="1">
      <x:c r="A68" s="24" t="str">
        <x:v>WTR.01</x:v>
      </x:c>
      <x:c r="B68" s="25" t="str">
        <x:v>Planejamento</x:v>
      </x:c>
      <x:c r="C68" s="25" t="str">
        <x:v>Água e Perfil Mineral</x:v>
      </x:c>
      <x:c r="D68" s="18" t="str">
        <x:v>Fontes</x:v>
      </x:c>
      <x:c r="E68" s="18" t="str">
        <x:v>Cadastrar fonte</x:v>
      </x:c>
      <x:c r="F68" s="18" t="str">
        <x:v>Rede, poço, mineral, osmose reversa, mistura ou água tratada.</x:v>
      </x:c>
      <x:c r="G68" s="26" t="str">
        <x:v>MVP 1</x:v>
      </x:c>
      <x:c r="H68" s="26" t="str">
        <x:v>Essencial</x:v>
      </x:c>
      <x:c r="I68" s="26" t="str">
        <x:v>Cervejeiro / Qualidade</x:v>
      </x:c>
    </x:row>
    <x:row r="69" ht="30" customHeight="1">
      <x:c r="A69" s="24" t="str">
        <x:v>WTR.02</x:v>
      </x:c>
      <x:c r="B69" s="25" t="str">
        <x:v>Planejamento</x:v>
      </x:c>
      <x:c r="C69" s="25" t="str">
        <x:v>Água e Perfil Mineral</x:v>
      </x:c>
      <x:c r="D69" s="18" t="str">
        <x:v>Laudos</x:v>
      </x:c>
      <x:c r="E69" s="18" t="str">
        <x:v>Composição da água</x:v>
      </x:c>
      <x:c r="F69" s="18" t="str">
        <x:v>Ca, Mg, Na, Cl, SO₄, HCO₃, alcalinidade, dureza, pH, TDS e data.</x:v>
      </x:c>
      <x:c r="G69" s="26" t="str">
        <x:v>MVP 1</x:v>
      </x:c>
      <x:c r="H69" s="26" t="str">
        <x:v>Essencial</x:v>
      </x:c>
      <x:c r="I69" s="26" t="str">
        <x:v>Cervejeiro / Qualidade</x:v>
      </x:c>
    </x:row>
    <x:row r="70" ht="30" customHeight="1">
      <x:c r="A70" s="24" t="str">
        <x:v>WTR.03</x:v>
      </x:c>
      <x:c r="B70" s="25" t="str">
        <x:v>Planejamento</x:v>
      </x:c>
      <x:c r="C70" s="25" t="str">
        <x:v>Água e Perfil Mineral</x:v>
      </x:c>
      <x:c r="D70" s="18" t="str">
        <x:v>Medições</x:v>
      </x:c>
      <x:c r="E70" s="18" t="str">
        <x:v>Registrar leitura local</x:v>
      </x:c>
      <x:c r="F70" s="18" t="str">
        <x:v>pH, EC/TDS, temperatura, equipamento e situação da calibração.</x:v>
      </x:c>
      <x:c r="G70" s="26" t="str">
        <x:v>MVP 1</x:v>
      </x:c>
      <x:c r="H70" s="26" t="str">
        <x:v>Essencial</x:v>
      </x:c>
      <x:c r="I70" s="26" t="str">
        <x:v>Cervejeiro / Qualidade</x:v>
      </x:c>
    </x:row>
    <x:row r="71" ht="30" customHeight="1">
      <x:c r="A71" s="24" t="str">
        <x:v>WTR.04</x:v>
      </x:c>
      <x:c r="B71" s="25" t="str">
        <x:v>Planejamento</x:v>
      </x:c>
      <x:c r="C71" s="25" t="str">
        <x:v>Água e Perfil Mineral</x:v>
      </x:c>
      <x:c r="D71" s="18" t="str">
        <x:v>Perfis</x:v>
      </x:c>
      <x:c r="E71" s="18" t="str">
        <x:v>Criar perfil-alvo</x:v>
      </x:c>
      <x:c r="F71" s="18" t="str">
        <x:v>Definir íons desejados por estilo, receita ou preferência da cervejaria.</x:v>
      </x:c>
      <x:c r="G71" s="26" t="str">
        <x:v>MVP 1</x:v>
      </x:c>
      <x:c r="H71" s="26" t="str">
        <x:v>Essencial</x:v>
      </x:c>
      <x:c r="I71" s="26" t="str">
        <x:v>Cervejeiro / Qualidade</x:v>
      </x:c>
    </x:row>
    <x:row r="72" ht="30" customHeight="1">
      <x:c r="A72" s="24" t="str">
        <x:v>WTR.05</x:v>
      </x:c>
      <x:c r="B72" s="25" t="str">
        <x:v>Planejamento</x:v>
      </x:c>
      <x:c r="C72" s="25" t="str">
        <x:v>Água e Perfil Mineral</x:v>
      </x:c>
      <x:c r="D72" s="18" t="str">
        <x:v>Mistura</x:v>
      </x:c>
      <x:c r="E72" s="18" t="str">
        <x:v>Combinar fontes</x:v>
      </x:c>
      <x:c r="F72" s="18" t="str">
        <x:v>Calcular proporção de águas e composição resultante.</x:v>
      </x:c>
      <x:c r="G72" s="26" t="str">
        <x:v>MVP 1</x:v>
      </x:c>
      <x:c r="H72" s="26" t="str">
        <x:v>Essencial</x:v>
      </x:c>
      <x:c r="I72" s="26" t="str">
        <x:v>Cervejeiro / Qualidade</x:v>
      </x:c>
    </x:row>
    <x:row r="73" ht="30" customHeight="1">
      <x:c r="A73" s="24" t="str">
        <x:v>WTR.06</x:v>
      </x:c>
      <x:c r="B73" s="25" t="str">
        <x:v>Planejamento</x:v>
      </x:c>
      <x:c r="C73" s="25" t="str">
        <x:v>Água e Perfil Mineral</x:v>
      </x:c>
      <x:c r="D73" s="18" t="str">
        <x:v>Tratamento</x:v>
      </x:c>
      <x:c r="E73" s="18" t="str">
        <x:v>Adição de sais</x:v>
      </x:c>
      <x:c r="F73" s="18" t="str">
        <x:v>Calcular massa, contribuição iônica e separação entre mostura e lavagem.</x:v>
      </x:c>
      <x:c r="G73" s="26" t="str">
        <x:v>MVP 1</x:v>
      </x:c>
      <x:c r="H73" s="26" t="str">
        <x:v>Essencial</x:v>
      </x:c>
      <x:c r="I73" s="26" t="str">
        <x:v>Cervejeiro / Qualidade</x:v>
      </x:c>
    </x:row>
    <x:row r="74" ht="30" customHeight="1">
      <x:c r="A74" s="24" t="str">
        <x:v>WTR.07</x:v>
      </x:c>
      <x:c r="B74" s="25" t="str">
        <x:v>Planejamento</x:v>
      </x:c>
      <x:c r="C74" s="25" t="str">
        <x:v>Água e Perfil Mineral</x:v>
      </x:c>
      <x:c r="D74" s="18" t="str">
        <x:v>Tratamento</x:v>
      </x:c>
      <x:c r="E74" s="18" t="str">
        <x:v>Acidificação</x:v>
      </x:c>
      <x:c r="F74" s="18" t="str">
        <x:v>Estimar dose por concentração e alcalinidade com confirmação experimental.</x:v>
      </x:c>
      <x:c r="G74" s="26" t="str">
        <x:v>MVP 1</x:v>
      </x:c>
      <x:c r="H74" s="26" t="str">
        <x:v>Essencial</x:v>
      </x:c>
      <x:c r="I74" s="26" t="str">
        <x:v>Cervejeiro / Qualidade</x:v>
      </x:c>
    </x:row>
    <x:row r="75" ht="30" customHeight="1">
      <x:c r="A75" s="24" t="str">
        <x:v>WTR.08</x:v>
      </x:c>
      <x:c r="B75" s="25" t="str">
        <x:v>Planejamento</x:v>
      </x:c>
      <x:c r="C75" s="25" t="str">
        <x:v>Água e Perfil Mineral</x:v>
      </x:c>
      <x:c r="D75" s="18" t="str">
        <x:v>Tratamento</x:v>
      </x:c>
      <x:c r="E75" s="18" t="str">
        <x:v>Cloro/cloramina</x:v>
      </x:c>
      <x:c r="F75" s="18" t="str">
        <x:v>Registrar método de remoção e dosagem de metabissulfito quando aplicável.</x:v>
      </x:c>
      <x:c r="G75" s="26" t="str">
        <x:v>MVP 1</x:v>
      </x:c>
      <x:c r="H75" s="26" t="str">
        <x:v>Essencial</x:v>
      </x:c>
      <x:c r="I75" s="26" t="str">
        <x:v>Cervejeiro / Qualidade</x:v>
      </x:c>
    </x:row>
    <x:row r="76" ht="30" customHeight="1">
      <x:c r="A76" s="24" t="str">
        <x:v>WTR.09</x:v>
      </x:c>
      <x:c r="B76" s="25" t="str">
        <x:v>Planejamento</x:v>
      </x:c>
      <x:c r="C76" s="25" t="str">
        <x:v>Água e Perfil Mineral</x:v>
      </x:c>
      <x:c r="D76" s="18" t="str">
        <x:v>Mostura</x:v>
      </x:c>
      <x:c r="E76" s="18" t="str">
        <x:v>Estimativa de pH</x:v>
      </x:c>
      <x:c r="F76" s="18" t="str">
        <x:v>Projetar pH usando água, grist e modelo escolhido; guardar versão do cálculo.</x:v>
      </x:c>
      <x:c r="G76" s="26" t="str">
        <x:v>MVP 1</x:v>
      </x:c>
      <x:c r="H76" s="26" t="str">
        <x:v>Essencial</x:v>
      </x:c>
      <x:c r="I76" s="26" t="str">
        <x:v>Cervejeiro / Qualidade</x:v>
      </x:c>
    </x:row>
    <x:row r="77" ht="30" customHeight="1">
      <x:c r="A77" s="24" t="str">
        <x:v>WTR.10</x:v>
      </x:c>
      <x:c r="B77" s="25" t="str">
        <x:v>Planejamento</x:v>
      </x:c>
      <x:c r="C77" s="25" t="str">
        <x:v>Água e Perfil Mineral</x:v>
      </x:c>
      <x:c r="D77" s="18" t="str">
        <x:v>Limites</x:v>
      </x:c>
      <x:c r="E77" s="18" t="str">
        <x:v>Faixas operacionais</x:v>
      </x:c>
      <x:c r="F77" s="18" t="str">
        <x:v>Alertar excesso de íons, sódio, sulfato/cloreto e incompatibilidades.</x:v>
      </x:c>
      <x:c r="G77" s="26" t="str">
        <x:v>MVP 1</x:v>
      </x:c>
      <x:c r="H77" s="26" t="str">
        <x:v>Essencial</x:v>
      </x:c>
      <x:c r="I77" s="26" t="str">
        <x:v>Cervejeiro / Qualidade</x:v>
      </x:c>
    </x:row>
    <x:row r="78" ht="30" customHeight="1">
      <x:c r="A78" s="24" t="str">
        <x:v>WTR.11</x:v>
      </x:c>
      <x:c r="B78" s="25" t="str">
        <x:v>Planejamento</x:v>
      </x:c>
      <x:c r="C78" s="25" t="str">
        <x:v>Água e Perfil Mineral</x:v>
      </x:c>
      <x:c r="D78" s="18" t="str">
        <x:v>Comparação</x:v>
      </x:c>
      <x:c r="E78" s="18" t="str">
        <x:v>Planejado versus medido</x:v>
      </x:c>
      <x:c r="F78" s="18" t="str">
        <x:v>Comparar perfil calculado, água preparada e leituras reais.</x:v>
      </x:c>
      <x:c r="G78" s="26" t="str">
        <x:v>MVP 1</x:v>
      </x:c>
      <x:c r="H78" s="26" t="str">
        <x:v>Essencial</x:v>
      </x:c>
      <x:c r="I78" s="26" t="str">
        <x:v>Cervejeiro / Qualidade</x:v>
      </x:c>
    </x:row>
    <x:row r="79" ht="30" customHeight="1">
      <x:c r="A79" s="24" t="str">
        <x:v>WTR.12</x:v>
      </x:c>
      <x:c r="B79" s="25" t="str">
        <x:v>Planejamento</x:v>
      </x:c>
      <x:c r="C79" s="25" t="str">
        <x:v>Água e Perfil Mineral</x:v>
      </x:c>
      <x:c r="D79" s="18" t="str">
        <x:v>Histórico</x:v>
      </x:c>
      <x:c r="E79" s="18" t="str">
        <x:v>Variação da fonte</x:v>
      </x:c>
      <x:c r="F79" s="18" t="str">
        <x:v>Exibir tendência de laudos e indicar mudanças relevantes.</x:v>
      </x:c>
      <x:c r="G79" s="26" t="str">
        <x:v>MVP 1</x:v>
      </x:c>
      <x:c r="H79" s="26" t="str">
        <x:v>Essencial</x:v>
      </x:c>
      <x:c r="I79" s="26" t="str">
        <x:v>Cervejeiro / Qualidade</x:v>
      </x:c>
    </x:row>
    <x:row r="80" ht="30" customHeight="1">
      <x:c r="A80" s="24" t="str">
        <x:v>REC.01</x:v>
      </x:c>
      <x:c r="B80" s="25" t="str">
        <x:v>Planejamento</x:v>
      </x:c>
      <x:c r="C80" s="25" t="str">
        <x:v>Receitas</x:v>
      </x:c>
      <x:c r="D80" s="18" t="str">
        <x:v>Criar receita</x:v>
      </x:c>
      <x:c r="E80" s="18" t="str">
        <x:v>Dados gerais</x:v>
      </x:c>
      <x:c r="F80" s="18" t="str">
        <x:v>Nome, código, estilo, autor, descrição, tags, imagem e visibilidade.</x:v>
      </x:c>
      <x:c r="G80" s="26" t="str">
        <x:v>MVP 1</x:v>
      </x:c>
      <x:c r="H80" s="26" t="str">
        <x:v>Essencial</x:v>
      </x:c>
      <x:c r="I80" s="26" t="str">
        <x:v>Cervejeiro</x:v>
      </x:c>
    </x:row>
    <x:row r="81" ht="30" customHeight="1">
      <x:c r="A81" s="24" t="str">
        <x:v>REC.02</x:v>
      </x:c>
      <x:c r="B81" s="25" t="str">
        <x:v>Planejamento</x:v>
      </x:c>
      <x:c r="C81" s="25" t="str">
        <x:v>Receitas</x:v>
      </x:c>
      <x:c r="D81" s="18" t="str">
        <x:v>Criar receita</x:v>
      </x:c>
      <x:c r="E81" s="18" t="str">
        <x:v>Equipamento</x:v>
      </x:c>
      <x:c r="F81" s="18" t="str">
        <x:v>Selecionar perfil e carregar volumes, perdas, eficiência e capacidade.</x:v>
      </x:c>
      <x:c r="G81" s="26" t="str">
        <x:v>MVP 1</x:v>
      </x:c>
      <x:c r="H81" s="26" t="str">
        <x:v>Essencial</x:v>
      </x:c>
      <x:c r="I81" s="26" t="str">
        <x:v>Cervejeiro</x:v>
      </x:c>
    </x:row>
    <x:row r="82" ht="30" customHeight="1">
      <x:c r="A82" s="24" t="str">
        <x:v>REC.03</x:v>
      </x:c>
      <x:c r="B82" s="25" t="str">
        <x:v>Planejamento</x:v>
      </x:c>
      <x:c r="C82" s="25" t="str">
        <x:v>Receitas</x:v>
      </x:c>
      <x:c r="D82" s="18" t="str">
        <x:v>Criar receita</x:v>
      </x:c>
      <x:c r="E82" s="18" t="str">
        <x:v>Volume e rendimento</x:v>
      </x:c>
      <x:c r="F82" s="18" t="str">
        <x:v>Definir volume no fermentador/envase, eficiência esperada e tamanho do lote.</x:v>
      </x:c>
      <x:c r="G82" s="26" t="str">
        <x:v>MVP 1</x:v>
      </x:c>
      <x:c r="H82" s="26" t="str">
        <x:v>Essencial</x:v>
      </x:c>
      <x:c r="I82" s="26" t="str">
        <x:v>Cervejeiro</x:v>
      </x:c>
    </x:row>
    <x:row r="83" ht="30" customHeight="1">
      <x:c r="A83" s="24" t="str">
        <x:v>REC.04</x:v>
      </x:c>
      <x:c r="B83" s="25" t="str">
        <x:v>Planejamento</x:v>
      </x:c>
      <x:c r="C83" s="25" t="str">
        <x:v>Receitas</x:v>
      </x:c>
      <x:c r="D83" s="18" t="str">
        <x:v>Criar receita</x:v>
      </x:c>
      <x:c r="E83" s="18" t="str">
        <x:v>Maltes e grãos</x:v>
      </x:c>
      <x:c r="F83" s="18" t="str">
        <x:v>Adicionar quantidade, percentual, moagem, rendimento, cor e finalidade.</x:v>
      </x:c>
      <x:c r="G83" s="26" t="str">
        <x:v>MVP 1</x:v>
      </x:c>
      <x:c r="H83" s="26" t="str">
        <x:v>Essencial</x:v>
      </x:c>
      <x:c r="I83" s="26" t="str">
        <x:v>Cervejeiro</x:v>
      </x:c>
    </x:row>
    <x:row r="84" ht="30" customHeight="1">
      <x:c r="A84" s="24" t="str">
        <x:v>REC.05</x:v>
      </x:c>
      <x:c r="B84" s="25" t="str">
        <x:v>Planejamento</x:v>
      </x:c>
      <x:c r="C84" s="25" t="str">
        <x:v>Receitas</x:v>
      </x:c>
      <x:c r="D84" s="18" t="str">
        <x:v>Criar receita</x:v>
      </x:c>
      <x:c r="E84" s="18" t="str">
        <x:v>Lúpulos</x:v>
      </x:c>
      <x:c r="F84" s="18" t="str">
        <x:v>Adicionar quantidade, alfa ácido, forma, tempo, etapa, temperatura e utilização.</x:v>
      </x:c>
      <x:c r="G84" s="26" t="str">
        <x:v>MVP 1</x:v>
      </x:c>
      <x:c r="H84" s="26" t="str">
        <x:v>Essencial</x:v>
      </x:c>
      <x:c r="I84" s="26" t="str">
        <x:v>Cervejeiro</x:v>
      </x:c>
    </x:row>
    <x:row r="85" ht="30" customHeight="1">
      <x:c r="A85" s="24" t="str">
        <x:v>REC.06</x:v>
      </x:c>
      <x:c r="B85" s="25" t="str">
        <x:v>Planejamento</x:v>
      </x:c>
      <x:c r="C85" s="25" t="str">
        <x:v>Receitas</x:v>
      </x:c>
      <x:c r="D85" s="18" t="str">
        <x:v>Criar receita</x:v>
      </x:c>
      <x:c r="E85" s="18" t="str">
        <x:v>Levedura</x:v>
      </x:c>
      <x:c r="F85" s="18" t="str">
        <x:v>Selecionar cepa, lote, quantidade, pitch rate, viabilidade e starter.</x:v>
      </x:c>
      <x:c r="G85" s="26" t="str">
        <x:v>MVP 1</x:v>
      </x:c>
      <x:c r="H85" s="26" t="str">
        <x:v>Essencial</x:v>
      </x:c>
      <x:c r="I85" s="26" t="str">
        <x:v>Cervejeiro</x:v>
      </x:c>
    </x:row>
    <x:row r="86" ht="30" customHeight="1">
      <x:c r="A86" s="24" t="str">
        <x:v>REC.07</x:v>
      </x:c>
      <x:c r="B86" s="25" t="str">
        <x:v>Planejamento</x:v>
      </x:c>
      <x:c r="C86" s="25" t="str">
        <x:v>Receitas</x:v>
      </x:c>
      <x:c r="D86" s="18" t="str">
        <x:v>Criar receita</x:v>
      </x:c>
      <x:c r="E86" s="18" t="str">
        <x:v>Água</x:v>
      </x:c>
      <x:c r="F86" s="18" t="str">
        <x:v>Selecionar fonte, perfil-alvo, proporções de mistura e volumes por etapa.</x:v>
      </x:c>
      <x:c r="G86" s="26" t="str">
        <x:v>MVP 1</x:v>
      </x:c>
      <x:c r="H86" s="26" t="str">
        <x:v>Essencial</x:v>
      </x:c>
      <x:c r="I86" s="26" t="str">
        <x:v>Cervejeiro</x:v>
      </x:c>
    </x:row>
    <x:row r="87" ht="30" customHeight="1">
      <x:c r="A87" s="24" t="str">
        <x:v>REC.08</x:v>
      </x:c>
      <x:c r="B87" s="25" t="str">
        <x:v>Planejamento</x:v>
      </x:c>
      <x:c r="C87" s="25" t="str">
        <x:v>Receitas</x:v>
      </x:c>
      <x:c r="D87" s="18" t="str">
        <x:v>Criar receita</x:v>
      </x:c>
      <x:c r="E87" s="18" t="str">
        <x:v>Sais e ácidos</x:v>
      </x:c>
      <x:c r="F87" s="18" t="str">
        <x:v>Definir adições na mostura, lavagem, fervura ou pós-processo.</x:v>
      </x:c>
      <x:c r="G87" s="26" t="str">
        <x:v>MVP 1</x:v>
      </x:c>
      <x:c r="H87" s="26" t="str">
        <x:v>Essencial</x:v>
      </x:c>
      <x:c r="I87" s="26" t="str">
        <x:v>Cervejeiro</x:v>
      </x:c>
    </x:row>
    <x:row r="88" ht="30" customHeight="1">
      <x:c r="A88" s="24" t="str">
        <x:v>REC.09</x:v>
      </x:c>
      <x:c r="B88" s="25" t="str">
        <x:v>Planejamento</x:v>
      </x:c>
      <x:c r="C88" s="25" t="str">
        <x:v>Receitas</x:v>
      </x:c>
      <x:c r="D88" s="18" t="str">
        <x:v>Criar receita</x:v>
      </x:c>
      <x:c r="E88" s="18" t="str">
        <x:v>Adjuntos</x:v>
      </x:c>
      <x:c r="F88" s="18" t="str">
        <x:v>Adicionar açúcar, fruta, especiaria, enzima, nutriente, clarificante e madeira.</x:v>
      </x:c>
      <x:c r="G88" s="26" t="str">
        <x:v>MVP 1</x:v>
      </x:c>
      <x:c r="H88" s="26" t="str">
        <x:v>Essencial</x:v>
      </x:c>
      <x:c r="I88" s="26" t="str">
        <x:v>Cervejeiro</x:v>
      </x:c>
    </x:row>
    <x:row r="89" ht="30" customHeight="1">
      <x:c r="A89" s="24" t="str">
        <x:v>REC.10</x:v>
      </x:c>
      <x:c r="B89" s="25" t="str">
        <x:v>Planejamento</x:v>
      </x:c>
      <x:c r="C89" s="25" t="str">
        <x:v>Receitas</x:v>
      </x:c>
      <x:c r="D89" s="18" t="str">
        <x:v>Criar receita</x:v>
      </x:c>
      <x:c r="E89" s="18" t="str">
        <x:v>Mostura</x:v>
      </x:c>
      <x:c r="F89" s="18" t="str">
        <x:v>Montar patamares, rampas, temperatura, tempo, relação água/grão e mash-out.</x:v>
      </x:c>
      <x:c r="G89" s="26" t="str">
        <x:v>MVP 1</x:v>
      </x:c>
      <x:c r="H89" s="26" t="str">
        <x:v>Essencial</x:v>
      </x:c>
      <x:c r="I89" s="26" t="str">
        <x:v>Cervejeiro</x:v>
      </x:c>
    </x:row>
    <x:row r="90" ht="30" customHeight="1">
      <x:c r="A90" s="24" t="str">
        <x:v>REC.11</x:v>
      </x:c>
      <x:c r="B90" s="25" t="str">
        <x:v>Planejamento</x:v>
      </x:c>
      <x:c r="C90" s="25" t="str">
        <x:v>Receitas</x:v>
      </x:c>
      <x:c r="D90" s="18" t="str">
        <x:v>Criar receita</x:v>
      </x:c>
      <x:c r="E90" s="18" t="str">
        <x:v>Lavagem</x:v>
      </x:c>
      <x:c r="F90" s="18" t="str">
        <x:v>Definir método, temperatura, volume, duração e limite de densidade/pH.</x:v>
      </x:c>
      <x:c r="G90" s="26" t="str">
        <x:v>MVP 1</x:v>
      </x:c>
      <x:c r="H90" s="26" t="str">
        <x:v>Essencial</x:v>
      </x:c>
      <x:c r="I90" s="26" t="str">
        <x:v>Cervejeiro</x:v>
      </x:c>
    </x:row>
    <x:row r="91" ht="30" customHeight="1">
      <x:c r="A91" s="24" t="str">
        <x:v>REC.12</x:v>
      </x:c>
      <x:c r="B91" s="25" t="str">
        <x:v>Planejamento</x:v>
      </x:c>
      <x:c r="C91" s="25" t="str">
        <x:v>Receitas</x:v>
      </x:c>
      <x:c r="D91" s="18" t="str">
        <x:v>Criar receita</x:v>
      </x:c>
      <x:c r="E91" s="18" t="str">
        <x:v>Fervura</x:v>
      </x:c>
      <x:c r="F91" s="18" t="str">
        <x:v>Definir duração, intensidade, adições temporizadas e volume final.</x:v>
      </x:c>
      <x:c r="G91" s="26" t="str">
        <x:v>MVP 1</x:v>
      </x:c>
      <x:c r="H91" s="26" t="str">
        <x:v>Essencial</x:v>
      </x:c>
      <x:c r="I91" s="26" t="str">
        <x:v>Cervejeiro</x:v>
      </x:c>
    </x:row>
    <x:row r="92" ht="30" customHeight="1">
      <x:c r="A92" s="24" t="str">
        <x:v>REC.13</x:v>
      </x:c>
      <x:c r="B92" s="25" t="str">
        <x:v>Planejamento</x:v>
      </x:c>
      <x:c r="C92" s="25" t="str">
        <x:v>Receitas</x:v>
      </x:c>
      <x:c r="D92" s="18" t="str">
        <x:v>Criar receita</x:v>
      </x:c>
      <x:c r="E92" s="18" t="str">
        <x:v>Whirlpool</x:v>
      </x:c>
      <x:c r="F92" s="18" t="str">
        <x:v>Definir temperatura, tempo, rotação e adições.</x:v>
      </x:c>
      <x:c r="G92" s="26" t="str">
        <x:v>MVP 1</x:v>
      </x:c>
      <x:c r="H92" s="26" t="str">
        <x:v>Essencial</x:v>
      </x:c>
      <x:c r="I92" s="26" t="str">
        <x:v>Cervejeiro</x:v>
      </x:c>
    </x:row>
    <x:row r="93" ht="30" customHeight="1">
      <x:c r="A93" s="24" t="str">
        <x:v>REC.14</x:v>
      </x:c>
      <x:c r="B93" s="25" t="str">
        <x:v>Planejamento</x:v>
      </x:c>
      <x:c r="C93" s="25" t="str">
        <x:v>Receitas</x:v>
      </x:c>
      <x:c r="D93" s="18" t="str">
        <x:v>Criar receita</x:v>
      </x:c>
      <x:c r="E93" s="18" t="str">
        <x:v>Fermentação</x:v>
      </x:c>
      <x:c r="F93" s="18" t="str">
        <x:v>Configurar inoculação, estágios de temperatura, pressão e critérios de avanço.</x:v>
      </x:c>
      <x:c r="G93" s="26" t="str">
        <x:v>MVP 1</x:v>
      </x:c>
      <x:c r="H93" s="26" t="str">
        <x:v>Essencial</x:v>
      </x:c>
      <x:c r="I93" s="26" t="str">
        <x:v>Cervejeiro</x:v>
      </x:c>
    </x:row>
    <x:row r="94" ht="30" customHeight="1">
      <x:c r="A94" s="24" t="str">
        <x:v>REC.15</x:v>
      </x:c>
      <x:c r="B94" s="25" t="str">
        <x:v>Planejamento</x:v>
      </x:c>
      <x:c r="C94" s="25" t="str">
        <x:v>Receitas</x:v>
      </x:c>
      <x:c r="D94" s="18" t="str">
        <x:v>Criar receita</x:v>
      </x:c>
      <x:c r="E94" s="18" t="str">
        <x:v>Dry hop</x:v>
      </x:c>
      <x:c r="F94" s="18" t="str">
        <x:v>Definir produto, dose, momento, temperatura, duração e remoção de lama.</x:v>
      </x:c>
      <x:c r="G94" s="26" t="str">
        <x:v>MVP 1</x:v>
      </x:c>
      <x:c r="H94" s="26" t="str">
        <x:v>Essencial</x:v>
      </x:c>
      <x:c r="I94" s="26" t="str">
        <x:v>Cervejeiro</x:v>
      </x:c>
    </x:row>
    <x:row r="95" ht="30" customHeight="1">
      <x:c r="A95" s="24" t="str">
        <x:v>REC.16</x:v>
      </x:c>
      <x:c r="B95" s="25" t="str">
        <x:v>Planejamento</x:v>
      </x:c>
      <x:c r="C95" s="25" t="str">
        <x:v>Receitas</x:v>
      </x:c>
      <x:c r="D95" s="18" t="str">
        <x:v>Criar receita</x:v>
      </x:c>
      <x:c r="E95" s="18" t="str">
        <x:v>Maturação</x:v>
      </x:c>
      <x:c r="F95" s="18" t="str">
        <x:v>Definir cold crash, lagering, clarificação e transferência.</x:v>
      </x:c>
      <x:c r="G95" s="26" t="str">
        <x:v>MVP 1</x:v>
      </x:c>
      <x:c r="H95" s="26" t="str">
        <x:v>Essencial</x:v>
      </x:c>
      <x:c r="I95" s="26" t="str">
        <x:v>Cervejeiro</x:v>
      </x:c>
    </x:row>
    <x:row r="96" ht="30" customHeight="1">
      <x:c r="A96" s="24" t="str">
        <x:v>REC.17</x:v>
      </x:c>
      <x:c r="B96" s="25" t="str">
        <x:v>Planejamento</x:v>
      </x:c>
      <x:c r="C96" s="25" t="str">
        <x:v>Receitas</x:v>
      </x:c>
      <x:c r="D96" s="18" t="str">
        <x:v>Criar receita</x:v>
      </x:c>
      <x:c r="E96" s="18" t="str">
        <x:v>Carbonatação</x:v>
      </x:c>
      <x:c r="F96" s="18" t="str">
        <x:v>Escolher priming ou forçada, volumes de CO₂, pressão e temperatura.</x:v>
      </x:c>
      <x:c r="G96" s="26" t="str">
        <x:v>MVP 1</x:v>
      </x:c>
      <x:c r="H96" s="26" t="str">
        <x:v>Essencial</x:v>
      </x:c>
      <x:c r="I96" s="26" t="str">
        <x:v>Cervejeiro</x:v>
      </x:c>
    </x:row>
    <x:row r="97" ht="30" customHeight="1">
      <x:c r="A97" s="24" t="str">
        <x:v>REC.18</x:v>
      </x:c>
      <x:c r="B97" s="25" t="str">
        <x:v>Planejamento</x:v>
      </x:c>
      <x:c r="C97" s="25" t="str">
        <x:v>Receitas</x:v>
      </x:c>
      <x:c r="D97" s="18" t="str">
        <x:v>Criar receita</x:v>
      </x:c>
      <x:c r="E97" s="18" t="str">
        <x:v>Envase</x:v>
      </x:c>
      <x:c r="F97" s="18" t="str">
        <x:v>Definir embalagem, volume, quantidade, perdas e informações de rótulo.</x:v>
      </x:c>
      <x:c r="G97" s="26" t="str">
        <x:v>MVP 1</x:v>
      </x:c>
      <x:c r="H97" s="26" t="str">
        <x:v>Essencial</x:v>
      </x:c>
      <x:c r="I97" s="26" t="str">
        <x:v>Cervejeiro</x:v>
      </x:c>
    </x:row>
    <x:row r="98" ht="30" customHeight="1">
      <x:c r="A98" s="24" t="str">
        <x:v>REC.19</x:v>
      </x:c>
      <x:c r="B98" s="25" t="str">
        <x:v>Planejamento</x:v>
      </x:c>
      <x:c r="C98" s="25" t="str">
        <x:v>Receitas</x:v>
      </x:c>
      <x:c r="D98" s="18" t="str">
        <x:v>Cálculos</x:v>
      </x:c>
      <x:c r="E98" s="18" t="str">
        <x:v>Metas técnicas</x:v>
      </x:c>
      <x:c r="F98" s="18" t="str">
        <x:v>Calcular OG, FG, ABV, IBU, cor, atenuação, calorias e carbonatação.</x:v>
      </x:c>
      <x:c r="G98" s="26" t="str">
        <x:v>MVP 1</x:v>
      </x:c>
      <x:c r="H98" s="26" t="str">
        <x:v>Essencial</x:v>
      </x:c>
      <x:c r="I98" s="26" t="str">
        <x:v>Cervejeiro</x:v>
      </x:c>
    </x:row>
    <x:row r="99" ht="30" customHeight="1">
      <x:c r="A99" s="24" t="str">
        <x:v>REC.20</x:v>
      </x:c>
      <x:c r="B99" s="25" t="str">
        <x:v>Planejamento</x:v>
      </x:c>
      <x:c r="C99" s="25" t="str">
        <x:v>Receitas</x:v>
      </x:c>
      <x:c r="D99" s="18" t="str">
        <x:v>Cálculos</x:v>
      </x:c>
      <x:c r="E99" s="18" t="str">
        <x:v>Balanço de volumes</x:v>
      </x:c>
      <x:c r="F99" s="18" t="str">
        <x:v>Calcular água total, absorção, evaporação, perdas e volume por etapa.</x:v>
      </x:c>
      <x:c r="G99" s="26" t="str">
        <x:v>MVP 1</x:v>
      </x:c>
      <x:c r="H99" s="26" t="str">
        <x:v>Essencial</x:v>
      </x:c>
      <x:c r="I99" s="26" t="str">
        <x:v>Cervejeiro</x:v>
      </x:c>
    </x:row>
    <x:row r="100" ht="30" customHeight="1">
      <x:c r="A100" s="24" t="str">
        <x:v>REC.21</x:v>
      </x:c>
      <x:c r="B100" s="25" t="str">
        <x:v>Planejamento</x:v>
      </x:c>
      <x:c r="C100" s="25" t="str">
        <x:v>Receitas</x:v>
      </x:c>
      <x:c r="D100" s="18" t="str">
        <x:v>Cálculos</x:v>
      </x:c>
      <x:c r="E100" s="18" t="str">
        <x:v>Custo planejado</x:v>
      </x:c>
      <x:c r="F100" s="18" t="str">
        <x:v>Calcular custo por ingrediente, etapa, lote, litro e embalagem.</x:v>
      </x:c>
      <x:c r="G100" s="26" t="str">
        <x:v>MVP 1</x:v>
      </x:c>
      <x:c r="H100" s="26" t="str">
        <x:v>Essencial</x:v>
      </x:c>
      <x:c r="I100" s="26" t="str">
        <x:v>Cervejeiro</x:v>
      </x:c>
    </x:row>
    <x:row r="101" ht="30" customHeight="1">
      <x:c r="A101" s="24" t="str">
        <x:v>REC.22</x:v>
      </x:c>
      <x:c r="B101" s="25" t="str">
        <x:v>Planejamento</x:v>
      </x:c>
      <x:c r="C101" s="25" t="str">
        <x:v>Receitas</x:v>
      </x:c>
      <x:c r="D101" s="18" t="str">
        <x:v>Qualidade</x:v>
      </x:c>
      <x:c r="E101" s="18" t="str">
        <x:v>Validar estilo e equipamento</x:v>
      </x:c>
      <x:c r="F101" s="18" t="str">
        <x:v>Sinalizar metas fora do estilo e limites físicos do equipamento.</x:v>
      </x:c>
      <x:c r="G101" s="26" t="str">
        <x:v>MVP 1</x:v>
      </x:c>
      <x:c r="H101" s="26" t="str">
        <x:v>Essencial</x:v>
      </x:c>
      <x:c r="I101" s="26" t="str">
        <x:v>Cervejeiro</x:v>
      </x:c>
    </x:row>
    <x:row r="102" ht="30" customHeight="1">
      <x:c r="A102" s="24" t="str">
        <x:v>REC.23</x:v>
      </x:c>
      <x:c r="B102" s="25" t="str">
        <x:v>Planejamento</x:v>
      </x:c>
      <x:c r="C102" s="25" t="str">
        <x:v>Receitas</x:v>
      </x:c>
      <x:c r="D102" s="18" t="str">
        <x:v>Versionamento</x:v>
      </x:c>
      <x:c r="E102" s="18" t="str">
        <x:v>Publicar versão</x:v>
      </x:c>
      <x:c r="F102" s="18" t="str">
        <x:v>Congelar fórmula; toda alteração posterior cria nova versão.</x:v>
      </x:c>
      <x:c r="G102" s="26" t="str">
        <x:v>MVP 1</x:v>
      </x:c>
      <x:c r="H102" s="26" t="str">
        <x:v>Essencial</x:v>
      </x:c>
      <x:c r="I102" s="26" t="str">
        <x:v>Cervejeiro</x:v>
      </x:c>
    </x:row>
    <x:row r="103" ht="30" customHeight="1">
      <x:c r="A103" s="24" t="str">
        <x:v>REC.24</x:v>
      </x:c>
      <x:c r="B103" s="25" t="str">
        <x:v>Planejamento</x:v>
      </x:c>
      <x:c r="C103" s="25" t="str">
        <x:v>Receitas</x:v>
      </x:c>
      <x:c r="D103" s="18" t="str">
        <x:v>Reutilização</x:v>
      </x:c>
      <x:c r="E103" s="18" t="str">
        <x:v>Clonar, escalar e comparar</x:v>
      </x:c>
      <x:c r="F103" s="18" t="str">
        <x:v>Duplicar receita, alterar volume/eficiência e comparar versões lado a lado.</x:v>
      </x:c>
      <x:c r="G103" s="26" t="str">
        <x:v>MVP 1</x:v>
      </x:c>
      <x:c r="H103" s="26" t="str">
        <x:v>Essencial</x:v>
      </x:c>
      <x:c r="I103" s="26" t="str">
        <x:v>Cervejeiro</x:v>
      </x:c>
    </x:row>
    <x:row r="104" ht="30" customHeight="1">
      <x:c r="A104" s="24" t="str">
        <x:v>REC.25</x:v>
      </x:c>
      <x:c r="B104" s="25" t="str">
        <x:v>Planejamento</x:v>
      </x:c>
      <x:c r="C104" s="25" t="str">
        <x:v>Receitas</x:v>
      </x:c>
      <x:c r="D104" s="18" t="str">
        <x:v>Importação</x:v>
      </x:c>
      <x:c r="E104" s="18" t="str">
        <x:v>BeerXML/BeerJSON</x:v>
      </x:c>
      <x:c r="F104" s="18" t="str">
        <x:v>Importar e exportar preservando dados não suportados em observações.</x:v>
      </x:c>
      <x:c r="G104" s="26" t="str">
        <x:v>MVP 1</x:v>
      </x:c>
      <x:c r="H104" s="26" t="str">
        <x:v>Essencial</x:v>
      </x:c>
      <x:c r="I104" s="26" t="str">
        <x:v>Cervejeiro</x:v>
      </x:c>
    </x:row>
    <x:row r="105" ht="30" customHeight="1">
      <x:c r="A105" s="24" t="str">
        <x:v>REC.26</x:v>
      </x:c>
      <x:c r="B105" s="25" t="str">
        <x:v>Planejamento</x:v>
      </x:c>
      <x:c r="C105" s="25" t="str">
        <x:v>Receitas</x:v>
      </x:c>
      <x:c r="D105" s="18" t="str">
        <x:v>Documentação</x:v>
      </x:c>
      <x:c r="E105" s="18" t="str">
        <x:v>Ficha de produção</x:v>
      </x:c>
      <x:c r="F105" s="18" t="str">
        <x:v>Gerar ficha técnica, checklist, cronograma e lista de separação.</x:v>
      </x:c>
      <x:c r="G105" s="26" t="str">
        <x:v>MVP 1</x:v>
      </x:c>
      <x:c r="H105" s="26" t="str">
        <x:v>Essencial</x:v>
      </x:c>
      <x:c r="I105" s="26" t="str">
        <x:v>Cervejeiro</x:v>
      </x:c>
    </x:row>
    <x:row r="106" ht="30" customHeight="1">
      <x:c r="A106" s="24" t="str">
        <x:v>PLN.01</x:v>
      </x:c>
      <x:c r="B106" s="25" t="str">
        <x:v>Planejamento</x:v>
      </x:c>
      <x:c r="C106" s="25" t="str">
        <x:v>Planejamento de Produção</x:v>
      </x:c>
      <x:c r="D106" s="18" t="str">
        <x:v>Calendário</x:v>
      </x:c>
      <x:c r="E106" s="18" t="str">
        <x:v>Agenda de brassagens</x:v>
      </x:c>
      <x:c r="F106" s="18" t="str">
        <x:v>Planejar data, receita, volume, responsável e equipamento.</x:v>
      </x:c>
      <x:c r="G106" s="26" t="str">
        <x:v>MVP 1</x:v>
      </x:c>
      <x:c r="H106" s="26" t="str">
        <x:v>Importante</x:v>
      </x:c>
      <x:c r="I106" s="26" t="str">
        <x:v>Cervejeiro / Produção</x:v>
      </x:c>
    </x:row>
    <x:row r="107" ht="30" customHeight="1">
      <x:c r="A107" s="24" t="str">
        <x:v>PLN.02</x:v>
      </x:c>
      <x:c r="B107" s="25" t="str">
        <x:v>Planejamento</x:v>
      </x:c>
      <x:c r="C107" s="25" t="str">
        <x:v>Planejamento de Produção</x:v>
      </x:c>
      <x:c r="D107" s="18" t="str">
        <x:v>Capacidade</x:v>
      </x:c>
      <x:c r="E107" s="18" t="str">
        <x:v>Disponibilidade de equipamentos</x:v>
      </x:c>
      <x:c r="F107" s="18" t="str">
        <x:v>Detectar conflitos em panela, fermentador, câmara fria e envase.</x:v>
      </x:c>
      <x:c r="G107" s="26" t="str">
        <x:v>MVP 1</x:v>
      </x:c>
      <x:c r="H107" s="26" t="str">
        <x:v>Importante</x:v>
      </x:c>
      <x:c r="I107" s="26" t="str">
        <x:v>Cervejeiro / Produção</x:v>
      </x:c>
    </x:row>
    <x:row r="108" ht="30" customHeight="1">
      <x:c r="A108" s="24" t="str">
        <x:v>PLN.03</x:v>
      </x:c>
      <x:c r="B108" s="25" t="str">
        <x:v>Planejamento</x:v>
      </x:c>
      <x:c r="C108" s="25" t="str">
        <x:v>Planejamento de Produção</x:v>
      </x:c>
      <x:c r="D108" s="18" t="str">
        <x:v>Materiais</x:v>
      </x:c>
      <x:c r="E108" s="18" t="str">
        <x:v>Necessidade de insumos</x:v>
      </x:c>
      <x:c r="F108" s="18" t="str">
        <x:v>Explodir receita, considerar perdas e comparar com estoque disponível/reservado.</x:v>
      </x:c>
      <x:c r="G108" s="26" t="str">
        <x:v>MVP 1</x:v>
      </x:c>
      <x:c r="H108" s="26" t="str">
        <x:v>Importante</x:v>
      </x:c>
      <x:c r="I108" s="26" t="str">
        <x:v>Cervejeiro / Produção</x:v>
      </x:c>
    </x:row>
    <x:row r="109" ht="30" customHeight="1">
      <x:c r="A109" s="24" t="str">
        <x:v>PLN.04</x:v>
      </x:c>
      <x:c r="B109" s="25" t="str">
        <x:v>Planejamento</x:v>
      </x:c>
      <x:c r="C109" s="25" t="str">
        <x:v>Planejamento de Produção</x:v>
      </x:c>
      <x:c r="D109" s="18" t="str">
        <x:v>Reservas</x:v>
      </x:c>
      <x:c r="E109" s="18" t="str">
        <x:v>Separação de lotes</x:v>
      </x:c>
      <x:c r="F109" s="18" t="str">
        <x:v>Reservar lotes FEFO e permitir substituição autorizada.</x:v>
      </x:c>
      <x:c r="G109" s="26" t="str">
        <x:v>MVP 1</x:v>
      </x:c>
      <x:c r="H109" s="26" t="str">
        <x:v>Importante</x:v>
      </x:c>
      <x:c r="I109" s="26" t="str">
        <x:v>Cervejeiro / Produção</x:v>
      </x:c>
    </x:row>
    <x:row r="110" ht="30" customHeight="1">
      <x:c r="A110" s="24" t="str">
        <x:v>PLN.05</x:v>
      </x:c>
      <x:c r="B110" s="25" t="str">
        <x:v>Planejamento</x:v>
      </x:c>
      <x:c r="C110" s="25" t="str">
        <x:v>Planejamento de Produção</x:v>
      </x:c>
      <x:c r="D110" s="18" t="str">
        <x:v>Compras</x:v>
      </x:c>
      <x:c r="E110" s="18" t="str">
        <x:v>Sugestão de reposição</x:v>
      </x:c>
      <x:c r="F110" s="18" t="str">
        <x:v>Gerar necessidade considerando lead time, estoque mínimo e produção futura.</x:v>
      </x:c>
      <x:c r="G110" s="26" t="str">
        <x:v>MVP 1</x:v>
      </x:c>
      <x:c r="H110" s="26" t="str">
        <x:v>Importante</x:v>
      </x:c>
      <x:c r="I110" s="26" t="str">
        <x:v>Cervejeiro / Produção</x:v>
      </x:c>
    </x:row>
    <x:row r="111" ht="30" customHeight="1">
      <x:c r="A111" s="24" t="str">
        <x:v>PLN.06</x:v>
      </x:c>
      <x:c r="B111" s="25" t="str">
        <x:v>Planejamento</x:v>
      </x:c>
      <x:c r="C111" s="25" t="str">
        <x:v>Planejamento de Produção</x:v>
      </x:c>
      <x:c r="D111" s="18" t="str">
        <x:v>Cronograma</x:v>
      </x:c>
      <x:c r="E111" s="18" t="str">
        <x:v>Previsão de etapas</x:v>
      </x:c>
      <x:c r="F111" s="18" t="str">
        <x:v>Calcular brassagem, fermentação, maturação e data provável de envase.</x:v>
      </x:c>
      <x:c r="G111" s="26" t="str">
        <x:v>MVP 1</x:v>
      </x:c>
      <x:c r="H111" s="26" t="str">
        <x:v>Importante</x:v>
      </x:c>
      <x:c r="I111" s="26" t="str">
        <x:v>Cervejeiro / Produção</x:v>
      </x:c>
    </x:row>
    <x:row r="112" ht="30" customHeight="1">
      <x:c r="A112" s="24" t="str">
        <x:v>PLN.07</x:v>
      </x:c>
      <x:c r="B112" s="25" t="str">
        <x:v>Planejamento</x:v>
      </x:c>
      <x:c r="C112" s="25" t="str">
        <x:v>Planejamento de Produção</x:v>
      </x:c>
      <x:c r="D112" s="18" t="str">
        <x:v>Cenários</x:v>
      </x:c>
      <x:c r="E112" s="18" t="str">
        <x:v>Simular produção</x:v>
      </x:c>
      <x:c r="F112" s="18" t="str">
        <x:v>Comparar volumes, equipamentos, datas e disponibilidade sem comprometer estoque.</x:v>
      </x:c>
      <x:c r="G112" s="26" t="str">
        <x:v>MVP 1</x:v>
      </x:c>
      <x:c r="H112" s="26" t="str">
        <x:v>Importante</x:v>
      </x:c>
      <x:c r="I112" s="26" t="str">
        <x:v>Cervejeiro / Produção</x:v>
      </x:c>
    </x:row>
    <x:row r="113" ht="30" customHeight="1">
      <x:c r="A113" s="24" t="str">
        <x:v>PLN.08</x:v>
      </x:c>
      <x:c r="B113" s="25" t="str">
        <x:v>Planejamento</x:v>
      </x:c>
      <x:c r="C113" s="25" t="str">
        <x:v>Planejamento de Produção</x:v>
      </x:c>
      <x:c r="D113" s="18" t="str">
        <x:v>Aprovação</x:v>
      </x:c>
      <x:c r="E113" s="18" t="str">
        <x:v>Liberar para produção</x:v>
      </x:c>
      <x:c r="F113" s="18" t="str">
        <x:v>Validar receita publicada, equipamento, insumos, limpeza e responsável.</x:v>
      </x:c>
      <x:c r="G113" s="26" t="str">
        <x:v>MVP 1</x:v>
      </x:c>
      <x:c r="H113" s="26" t="str">
        <x:v>Importante</x:v>
      </x:c>
      <x:c r="I113" s="26" t="str">
        <x:v>Cervejeiro / Produção</x:v>
      </x:c>
    </x:row>
    <x:row r="114" ht="30" customHeight="1">
      <x:c r="A114" s="24" t="str">
        <x:v>PLN.09</x:v>
      </x:c>
      <x:c r="B114" s="25" t="str">
        <x:v>Planejamento</x:v>
      </x:c>
      <x:c r="C114" s="25" t="str">
        <x:v>Planejamento de Produção</x:v>
      </x:c>
      <x:c r="D114" s="18" t="str">
        <x:v>Impressão</x:v>
      </x:c>
      <x:c r="E114" s="18" t="str">
        <x:v>Ordem e etiquetas</x:v>
      </x:c>
      <x:c r="F114" s="18" t="str">
        <x:v>Gerar OP, etiquetas de separação e identificação preliminar do lote.</x:v>
      </x:c>
      <x:c r="G114" s="26" t="str">
        <x:v>MVP 1</x:v>
      </x:c>
      <x:c r="H114" s="26" t="str">
        <x:v>Importante</x:v>
      </x:c>
      <x:c r="I114" s="26" t="str">
        <x:v>Cervejeiro / Produção</x:v>
      </x:c>
    </x:row>
    <x:row r="115" ht="30" customHeight="1">
      <x:c r="A115" s="24" t="str">
        <x:v>BOP.01</x:v>
      </x:c>
      <x:c r="B115" s="25" t="str">
        <x:v>Produção</x:v>
      </x:c>
      <x:c r="C115" s="25" t="str">
        <x:v>Ordens e Lotes de Produção</x:v>
      </x:c>
      <x:c r="D115" s="18" t="str">
        <x:v>Ordem</x:v>
      </x:c>
      <x:c r="E115" s="18" t="str">
        <x:v>Criar OP</x:v>
      </x:c>
      <x:c r="F115" s="18" t="str">
        <x:v>Gerar a partir de versão publicada da receita e perfil de equipamento.</x:v>
      </x:c>
      <x:c r="G115" s="26" t="str">
        <x:v>MVP 2</x:v>
      </x:c>
      <x:c r="H115" s="26" t="str">
        <x:v>Essencial</x:v>
      </x:c>
      <x:c r="I115" s="26" t="str">
        <x:v>Cervejeiro / Produção</x:v>
      </x:c>
    </x:row>
    <x:row r="116" ht="30" customHeight="1">
      <x:c r="A116" s="24" t="str">
        <x:v>BOP.02</x:v>
      </x:c>
      <x:c r="B116" s="25" t="str">
        <x:v>Produção</x:v>
      </x:c>
      <x:c r="C116" s="25" t="str">
        <x:v>Ordens e Lotes de Produção</x:v>
      </x:c>
      <x:c r="D116" s="18" t="str">
        <x:v>Ordem</x:v>
      </x:c>
      <x:c r="E116" s="18" t="str">
        <x:v>Identificação do lote</x:v>
      </x:c>
      <x:c r="F116" s="18" t="str">
        <x:v>Gerar código único, data, responsável, local e status inicial.</x:v>
      </x:c>
      <x:c r="G116" s="26" t="str">
        <x:v>MVP 2</x:v>
      </x:c>
      <x:c r="H116" s="26" t="str">
        <x:v>Essencial</x:v>
      </x:c>
      <x:c r="I116" s="26" t="str">
        <x:v>Cervejeiro / Produção</x:v>
      </x:c>
    </x:row>
    <x:row r="117" ht="30" customHeight="1">
      <x:c r="A117" s="24" t="str">
        <x:v>BOP.03</x:v>
      </x:c>
      <x:c r="B117" s="25" t="str">
        <x:v>Produção</x:v>
      </x:c>
      <x:c r="C117" s="25" t="str">
        <x:v>Ordens e Lotes de Produção</x:v>
      </x:c>
      <x:c r="D117" s="18" t="str">
        <x:v>Snapshot</x:v>
      </x:c>
      <x:c r="E117" s="18" t="str">
        <x:v>Congelar planejamento</x:v>
      </x:c>
      <x:c r="F117" s="18" t="str">
        <x:v>Guardar receita, cálculos, custos e parâmetros usados no momento da liberação.</x:v>
      </x:c>
      <x:c r="G117" s="26" t="str">
        <x:v>MVP 2</x:v>
      </x:c>
      <x:c r="H117" s="26" t="str">
        <x:v>Essencial</x:v>
      </x:c>
      <x:c r="I117" s="26" t="str">
        <x:v>Cervejeiro / Produção</x:v>
      </x:c>
    </x:row>
    <x:row r="118" ht="30" customHeight="1">
      <x:c r="A118" s="24" t="str">
        <x:v>BOP.04</x:v>
      </x:c>
      <x:c r="B118" s="25" t="str">
        <x:v>Produção</x:v>
      </x:c>
      <x:c r="C118" s="25" t="str">
        <x:v>Ordens e Lotes de Produção</x:v>
      </x:c>
      <x:c r="D118" s="18" t="str">
        <x:v>Status</x:v>
      </x:c>
      <x:c r="E118" s="18" t="str">
        <x:v>Transições controladas</x:v>
      </x:c>
      <x:c r="F118" s="18" t="str">
        <x:v>Rascunho, liberada, em produção, fermentando, maturando, envasada e encerrada.</x:v>
      </x:c>
      <x:c r="G118" s="26" t="str">
        <x:v>MVP 2</x:v>
      </x:c>
      <x:c r="H118" s="26" t="str">
        <x:v>Essencial</x:v>
      </x:c>
      <x:c r="I118" s="26" t="str">
        <x:v>Cervejeiro / Produção</x:v>
      </x:c>
    </x:row>
    <x:row r="119" ht="30" customHeight="1">
      <x:c r="A119" s="24" t="str">
        <x:v>BOP.05</x:v>
      </x:c>
      <x:c r="B119" s="25" t="str">
        <x:v>Produção</x:v>
      </x:c>
      <x:c r="C119" s="25" t="str">
        <x:v>Ordens e Lotes de Produção</x:v>
      </x:c>
      <x:c r="D119" s="18" t="str">
        <x:v>Checklist</x:v>
      </x:c>
      <x:c r="E119" s="18" t="str">
        <x:v>Pré-produção</x:v>
      </x:c>
      <x:c r="F119" s="18" t="str">
        <x:v>Confirmar equipamento, limpeza, calibração, matérias-primas e segurança.</x:v>
      </x:c>
      <x:c r="G119" s="26" t="str">
        <x:v>MVP 2</x:v>
      </x:c>
      <x:c r="H119" s="26" t="str">
        <x:v>Essencial</x:v>
      </x:c>
      <x:c r="I119" s="26" t="str">
        <x:v>Cervejeiro / Produção</x:v>
      </x:c>
    </x:row>
    <x:row r="120" ht="30" customHeight="1">
      <x:c r="A120" s="24" t="str">
        <x:v>BOP.06</x:v>
      </x:c>
      <x:c r="B120" s="25" t="str">
        <x:v>Produção</x:v>
      </x:c>
      <x:c r="C120" s="25" t="str">
        <x:v>Ordens e Lotes de Produção</x:v>
      </x:c>
      <x:c r="D120" s="18" t="str">
        <x:v>Responsáveis</x:v>
      </x:c>
      <x:c r="E120" s="18" t="str">
        <x:v>Equipe e turnos</x:v>
      </x:c>
      <x:c r="F120" s="18" t="str">
        <x:v>Definir cervejeiro, auxiliares, aprovadores e substituições.</x:v>
      </x:c>
      <x:c r="G120" s="26" t="str">
        <x:v>MVP 2</x:v>
      </x:c>
      <x:c r="H120" s="26" t="str">
        <x:v>Essencial</x:v>
      </x:c>
      <x:c r="I120" s="26" t="str">
        <x:v>Cervejeiro / Produção</x:v>
      </x:c>
    </x:row>
    <x:row r="121" ht="30" customHeight="1">
      <x:c r="A121" s="24" t="str">
        <x:v>BOP.07</x:v>
      </x:c>
      <x:c r="B121" s="25" t="str">
        <x:v>Produção</x:v>
      </x:c>
      <x:c r="C121" s="25" t="str">
        <x:v>Ordens e Lotes de Produção</x:v>
      </x:c>
      <x:c r="D121" s="18" t="str">
        <x:v>Apontamentos</x:v>
      </x:c>
      <x:c r="E121" s="18" t="str">
        <x:v>Ocorrências</x:v>
      </x:c>
      <x:c r="F121" s="18" t="str">
        <x:v>Registrar atraso, troca de insumo, parada, falha, observação e evidência.</x:v>
      </x:c>
      <x:c r="G121" s="26" t="str">
        <x:v>MVP 2</x:v>
      </x:c>
      <x:c r="H121" s="26" t="str">
        <x:v>Essencial</x:v>
      </x:c>
      <x:c r="I121" s="26" t="str">
        <x:v>Cervejeiro / Produção</x:v>
      </x:c>
    </x:row>
    <x:row r="122" ht="30" customHeight="1">
      <x:c r="A122" s="24" t="str">
        <x:v>BOP.08</x:v>
      </x:c>
      <x:c r="B122" s="25" t="str">
        <x:v>Produção</x:v>
      </x:c>
      <x:c r="C122" s="25" t="str">
        <x:v>Ordens e Lotes de Produção</x:v>
      </x:c>
      <x:c r="D122" s="18" t="str">
        <x:v>Anexos</x:v>
      </x:c>
      <x:c r="E122" s="18" t="str">
        <x:v>Fotos e documentos</x:v>
      </x:c>
      <x:c r="F122" s="18" t="str">
        <x:v>Anexar imagens, laudos, etiquetas, fichas e arquivos relacionados.</x:v>
      </x:c>
      <x:c r="G122" s="26" t="str">
        <x:v>MVP 2</x:v>
      </x:c>
      <x:c r="H122" s="26" t="str">
        <x:v>Essencial</x:v>
      </x:c>
      <x:c r="I122" s="26" t="str">
        <x:v>Cervejeiro / Produção</x:v>
      </x:c>
    </x:row>
    <x:row r="123" ht="30" customHeight="1">
      <x:c r="A123" s="24" t="str">
        <x:v>BOP.09</x:v>
      </x:c>
      <x:c r="B123" s="25" t="str">
        <x:v>Produção</x:v>
      </x:c>
      <x:c r="C123" s="25" t="str">
        <x:v>Ordens e Lotes de Produção</x:v>
      </x:c>
      <x:c r="D123" s="18" t="str">
        <x:v>Cancelamento</x:v>
      </x:c>
      <x:c r="E123" s="18" t="str">
        <x:v>Cancelar com motivo</x:v>
      </x:c>
      <x:c r="F123" s="18" t="str">
        <x:v>Liberar reservas, preservar histórico e exigir justificativa.</x:v>
      </x:c>
      <x:c r="G123" s="26" t="str">
        <x:v>MVP 2</x:v>
      </x:c>
      <x:c r="H123" s="26" t="str">
        <x:v>Essencial</x:v>
      </x:c>
      <x:c r="I123" s="26" t="str">
        <x:v>Cervejeiro / Produção</x:v>
      </x:c>
    </x:row>
    <x:row r="124" ht="30" customHeight="1">
      <x:c r="A124" s="24" t="str">
        <x:v>BOP.10</x:v>
      </x:c>
      <x:c r="B124" s="25" t="str">
        <x:v>Produção</x:v>
      </x:c>
      <x:c r="C124" s="25" t="str">
        <x:v>Ordens e Lotes de Produção</x:v>
      </x:c>
      <x:c r="D124" s="18" t="str">
        <x:v>Fechamento</x:v>
      </x:c>
      <x:c r="E124" s="18" t="str">
        <x:v>Encerrar lote</x:v>
      </x:c>
      <x:c r="F124" s="18" t="str">
        <x:v>Validar envase, consumo, perdas, qualidade e snapshot financeiro.</x:v>
      </x:c>
      <x:c r="G124" s="26" t="str">
        <x:v>MVP 2</x:v>
      </x:c>
      <x:c r="H124" s="26" t="str">
        <x:v>Essencial</x:v>
      </x:c>
      <x:c r="I124" s="26" t="str">
        <x:v>Cervejeiro / Produção</x:v>
      </x:c>
    </x:row>
    <x:row r="125" ht="30" customHeight="1">
      <x:c r="A125" s="24" t="str">
        <x:v>PRD.01</x:v>
      </x:c>
      <x:c r="B125" s="25" t="str">
        <x:v>Produção</x:v>
      </x:c>
      <x:c r="C125" s="25" t="str">
        <x:v>Assistente de Produção</x:v>
      </x:c>
      <x:c r="D125" s="18" t="str">
        <x:v>Execução</x:v>
      </x:c>
      <x:c r="E125" s="18" t="str">
        <x:v>Modo passo a passo</x:v>
      </x:c>
      <x:c r="F125" s="18" t="str">
        <x:v>Exibir etapa atual, instrução, meta, tolerância, cronômetro e próxima ação.</x:v>
      </x:c>
      <x:c r="G125" s="26" t="str">
        <x:v>MVP 2</x:v>
      </x:c>
      <x:c r="H125" s="26" t="str">
        <x:v>Essencial</x:v>
      </x:c>
      <x:c r="I125" s="26" t="str">
        <x:v>Cervejeiro / Produção</x:v>
      </x:c>
    </x:row>
    <x:row r="126" ht="30" customHeight="1">
      <x:c r="A126" s="24" t="str">
        <x:v>PRD.02</x:v>
      </x:c>
      <x:c r="B126" s="25" t="str">
        <x:v>Produção</x:v>
      </x:c>
      <x:c r="C126" s="25" t="str">
        <x:v>Assistente de Produção</x:v>
      </x:c>
      <x:c r="D126" s="18" t="str">
        <x:v>Água</x:v>
      </x:c>
      <x:c r="E126" s="18" t="str">
        <x:v>Preparar volumes</x:v>
      </x:c>
      <x:c r="F126" s="18" t="str">
        <x:v>Orientar água de mostura/lavagem e confirmar volume real.</x:v>
      </x:c>
      <x:c r="G126" s="26" t="str">
        <x:v>MVP 2</x:v>
      </x:c>
      <x:c r="H126" s="26" t="str">
        <x:v>Essencial</x:v>
      </x:c>
      <x:c r="I126" s="26" t="str">
        <x:v>Cervejeiro / Produção</x:v>
      </x:c>
    </x:row>
    <x:row r="127" ht="30" customHeight="1">
      <x:c r="A127" s="24" t="str">
        <x:v>PRD.03</x:v>
      </x:c>
      <x:c r="B127" s="25" t="str">
        <x:v>Produção</x:v>
      </x:c>
      <x:c r="C127" s="25" t="str">
        <x:v>Assistente de Produção</x:v>
      </x:c>
      <x:c r="D127" s="18" t="str">
        <x:v>Água</x:v>
      </x:c>
      <x:c r="E127" s="18" t="str">
        <x:v>Aplicar sais e ácido</x:v>
      </x:c>
      <x:c r="F127" s="18" t="str">
        <x:v>Mostrar dose planejada, registrar dose real e recalcular composição.</x:v>
      </x:c>
      <x:c r="G127" s="26" t="str">
        <x:v>MVP 2</x:v>
      </x:c>
      <x:c r="H127" s="26" t="str">
        <x:v>Essencial</x:v>
      </x:c>
      <x:c r="I127" s="26" t="str">
        <x:v>Cervejeiro / Produção</x:v>
      </x:c>
    </x:row>
    <x:row r="128" ht="30" customHeight="1">
      <x:c r="A128" s="24" t="str">
        <x:v>PRD.04</x:v>
      </x:c>
      <x:c r="B128" s="25" t="str">
        <x:v>Produção</x:v>
      </x:c>
      <x:c r="C128" s="25" t="str">
        <x:v>Assistente de Produção</x:v>
      </x:c>
      <x:c r="D128" s="18" t="str">
        <x:v>Mostura</x:v>
      </x:c>
      <x:c r="E128" s="18" t="str">
        <x:v>Registrar patamares</x:v>
      </x:c>
      <x:c r="F128" s="18" t="str">
        <x:v>Capturar temperatura, pH, tempo e observações por patamar.</x:v>
      </x:c>
      <x:c r="G128" s="26" t="str">
        <x:v>MVP 2</x:v>
      </x:c>
      <x:c r="H128" s="26" t="str">
        <x:v>Essencial</x:v>
      </x:c>
      <x:c r="I128" s="26" t="str">
        <x:v>Cervejeiro / Produção</x:v>
      </x:c>
    </x:row>
    <x:row r="129" ht="30" customHeight="1">
      <x:c r="A129" s="24" t="str">
        <x:v>PRD.05</x:v>
      </x:c>
      <x:c r="B129" s="25" t="str">
        <x:v>Produção</x:v>
      </x:c>
      <x:c r="C129" s="25" t="str">
        <x:v>Assistente de Produção</x:v>
      </x:c>
      <x:c r="D129" s="18" t="str">
        <x:v>Mostura</x:v>
      </x:c>
      <x:c r="E129" s="18" t="str">
        <x:v>Corrigir temperatura</x:v>
      </x:c>
      <x:c r="F129" s="18" t="str">
        <x:v>Calcular água quente/fria ou energia necessária respeitando capacidade.</x:v>
      </x:c>
      <x:c r="G129" s="26" t="str">
        <x:v>MVP 2</x:v>
      </x:c>
      <x:c r="H129" s="26" t="str">
        <x:v>Essencial</x:v>
      </x:c>
      <x:c r="I129" s="26" t="str">
        <x:v>Cervejeiro / Produção</x:v>
      </x:c>
    </x:row>
    <x:row r="130" ht="30" customHeight="1">
      <x:c r="A130" s="24" t="str">
        <x:v>PRD.06</x:v>
      </x:c>
      <x:c r="B130" s="25" t="str">
        <x:v>Produção</x:v>
      </x:c>
      <x:c r="C130" s="25" t="str">
        <x:v>Assistente de Produção</x:v>
      </x:c>
      <x:c r="D130" s="18" t="str">
        <x:v>Mostura</x:v>
      </x:c>
      <x:c r="E130" s="18" t="str">
        <x:v>Corrigir pH</x:v>
      </x:c>
      <x:c r="F130" s="18" t="str">
        <x:v>Simular dose incremental e exigir confirmação/medição posterior.</x:v>
      </x:c>
      <x:c r="G130" s="26" t="str">
        <x:v>MVP 2</x:v>
      </x:c>
      <x:c r="H130" s="26" t="str">
        <x:v>Essencial</x:v>
      </x:c>
      <x:c r="I130" s="26" t="str">
        <x:v>Cervejeiro / Produção</x:v>
      </x:c>
    </x:row>
    <x:row r="131" ht="30" customHeight="1">
      <x:c r="A131" s="24" t="str">
        <x:v>PRD.07</x:v>
      </x:c>
      <x:c r="B131" s="25" t="str">
        <x:v>Produção</x:v>
      </x:c>
      <x:c r="C131" s="25" t="str">
        <x:v>Assistente de Produção</x:v>
      </x:c>
      <x:c r="D131" s="18" t="str">
        <x:v>Mostura</x:v>
      </x:c>
      <x:c r="E131" s="18" t="str">
        <x:v>Teste de conversão</x:v>
      </x:c>
      <x:c r="F131" s="18" t="str">
        <x:v>Registrar iodo, densidade ou critério configurado antes do mash-out.</x:v>
      </x:c>
      <x:c r="G131" s="26" t="str">
        <x:v>MVP 2</x:v>
      </x:c>
      <x:c r="H131" s="26" t="str">
        <x:v>Essencial</x:v>
      </x:c>
      <x:c r="I131" s="26" t="str">
        <x:v>Cervejeiro / Produção</x:v>
      </x:c>
    </x:row>
    <x:row r="132" ht="30" customHeight="1">
      <x:c r="A132" s="24" t="str">
        <x:v>PRD.08</x:v>
      </x:c>
      <x:c r="B132" s="25" t="str">
        <x:v>Produção</x:v>
      </x:c>
      <x:c r="C132" s="25" t="str">
        <x:v>Assistente de Produção</x:v>
      </x:c>
      <x:c r="D132" s="18" t="str">
        <x:v>Lavagem</x:v>
      </x:c>
      <x:c r="E132" s="18" t="str">
        <x:v>Controlar runoff</x:v>
      </x:c>
      <x:c r="F132" s="18" t="str">
        <x:v>Registrar volume, densidade, pH e interromper por limite configurado.</x:v>
      </x:c>
      <x:c r="G132" s="26" t="str">
        <x:v>MVP 2</x:v>
      </x:c>
      <x:c r="H132" s="26" t="str">
        <x:v>Essencial</x:v>
      </x:c>
      <x:c r="I132" s="26" t="str">
        <x:v>Cervejeiro / Produção</x:v>
      </x:c>
    </x:row>
    <x:row r="133" ht="30" customHeight="1">
      <x:c r="A133" s="24" t="str">
        <x:v>PRD.09</x:v>
      </x:c>
      <x:c r="B133" s="25" t="str">
        <x:v>Produção</x:v>
      </x:c>
      <x:c r="C133" s="25" t="str">
        <x:v>Assistente de Produção</x:v>
      </x:c>
      <x:c r="D133" s="18" t="str">
        <x:v>Pré-fervura</x:v>
      </x:c>
      <x:c r="E133" s="18" t="str">
        <x:v>Volume e densidade</x:v>
      </x:c>
      <x:c r="F133" s="18" t="str">
        <x:v>Comparar realizado versus meta e projetar OG pós-fervura.</x:v>
      </x:c>
      <x:c r="G133" s="26" t="str">
        <x:v>MVP 2</x:v>
      </x:c>
      <x:c r="H133" s="26" t="str">
        <x:v>Essencial</x:v>
      </x:c>
      <x:c r="I133" s="26" t="str">
        <x:v>Cervejeiro / Produção</x:v>
      </x:c>
    </x:row>
    <x:row r="134" ht="30" customHeight="1">
      <x:c r="A134" s="24" t="str">
        <x:v>PRD.10</x:v>
      </x:c>
      <x:c r="B134" s="25" t="str">
        <x:v>Produção</x:v>
      </x:c>
      <x:c r="C134" s="25" t="str">
        <x:v>Assistente de Produção</x:v>
      </x:c>
      <x:c r="D134" s="18" t="str">
        <x:v>Pré-fervura</x:v>
      </x:c>
      <x:c r="E134" s="18" t="str">
        <x:v>Correção de gravidade</x:v>
      </x:c>
      <x:c r="F134" s="18" t="str">
        <x:v>Calcular diluição, fervura adicional ou fermentável pelo potencial cadastrado.</x:v>
      </x:c>
      <x:c r="G134" s="26" t="str">
        <x:v>MVP 2</x:v>
      </x:c>
      <x:c r="H134" s="26" t="str">
        <x:v>Essencial</x:v>
      </x:c>
      <x:c r="I134" s="26" t="str">
        <x:v>Cervejeiro / Produção</x:v>
      </x:c>
    </x:row>
    <x:row r="135" ht="30" customHeight="1">
      <x:c r="A135" s="24" t="str">
        <x:v>PRD.11</x:v>
      </x:c>
      <x:c r="B135" s="25" t="str">
        <x:v>Produção</x:v>
      </x:c>
      <x:c r="C135" s="25" t="str">
        <x:v>Assistente de Produção</x:v>
      </x:c>
      <x:c r="D135" s="18" t="str">
        <x:v>Fervura</x:v>
      </x:c>
      <x:c r="E135" s="18" t="str">
        <x:v>Cronômetros e adições</x:v>
      </x:c>
      <x:c r="F135" s="18" t="str">
        <x:v>Disparar alertas de lúpulo, nutrientes, clarificante e outras adições.</x:v>
      </x:c>
      <x:c r="G135" s="26" t="str">
        <x:v>MVP 2</x:v>
      </x:c>
      <x:c r="H135" s="26" t="str">
        <x:v>Essencial</x:v>
      </x:c>
      <x:c r="I135" s="26" t="str">
        <x:v>Cervejeiro / Produção</x:v>
      </x:c>
    </x:row>
    <x:row r="136" ht="30" customHeight="1">
      <x:c r="A136" s="24" t="str">
        <x:v>PRD.12</x:v>
      </x:c>
      <x:c r="B136" s="25" t="str">
        <x:v>Produção</x:v>
      </x:c>
      <x:c r="C136" s="25" t="str">
        <x:v>Assistente de Produção</x:v>
      </x:c>
      <x:c r="D136" s="18" t="str">
        <x:v>Fervura</x:v>
      </x:c>
      <x:c r="E136" s="18" t="str">
        <x:v>Taxa de evaporação</x:v>
      </x:c>
      <x:c r="F136" s="18" t="str">
        <x:v>Recalcular previsão com volume medido durante a fervura.</x:v>
      </x:c>
      <x:c r="G136" s="26" t="str">
        <x:v>MVP 2</x:v>
      </x:c>
      <x:c r="H136" s="26" t="str">
        <x:v>Essencial</x:v>
      </x:c>
      <x:c r="I136" s="26" t="str">
        <x:v>Cervejeiro / Produção</x:v>
      </x:c>
    </x:row>
    <x:row r="137" ht="30" customHeight="1">
      <x:c r="A137" s="24" t="str">
        <x:v>PRD.13</x:v>
      </x:c>
      <x:c r="B137" s="25" t="str">
        <x:v>Produção</x:v>
      </x:c>
      <x:c r="C137" s="25" t="str">
        <x:v>Assistente de Produção</x:v>
      </x:c>
      <x:c r="D137" s="18" t="str">
        <x:v>Whirlpool</x:v>
      </x:c>
      <x:c r="E137" s="18" t="str">
        <x:v>Temperatura e contato</x:v>
      </x:c>
      <x:c r="F137" s="18" t="str">
        <x:v>Controlar resfriamento, tempo e adições aromáticas.</x:v>
      </x:c>
      <x:c r="G137" s="26" t="str">
        <x:v>MVP 2</x:v>
      </x:c>
      <x:c r="H137" s="26" t="str">
        <x:v>Essencial</x:v>
      </x:c>
      <x:c r="I137" s="26" t="str">
        <x:v>Cervejeiro / Produção</x:v>
      </x:c>
    </x:row>
    <x:row r="138" ht="30" customHeight="1">
      <x:c r="A138" s="24" t="str">
        <x:v>PRD.14</x:v>
      </x:c>
      <x:c r="B138" s="25" t="str">
        <x:v>Produção</x:v>
      </x:c>
      <x:c r="C138" s="25" t="str">
        <x:v>Assistente de Produção</x:v>
      </x:c>
      <x:c r="D138" s="18" t="str">
        <x:v>Resfriamento</x:v>
      </x:c>
      <x:c r="E138" s="18" t="str">
        <x:v>Curva e tempo</x:v>
      </x:c>
      <x:c r="F138" s="18" t="str">
        <x:v>Registrar temperatura de saída, duração e eficiência do resfriamento.</x:v>
      </x:c>
      <x:c r="G138" s="26" t="str">
        <x:v>MVP 2</x:v>
      </x:c>
      <x:c r="H138" s="26" t="str">
        <x:v>Essencial</x:v>
      </x:c>
      <x:c r="I138" s="26" t="str">
        <x:v>Cervejeiro / Produção</x:v>
      </x:c>
    </x:row>
    <x:row r="139" ht="30" customHeight="1">
      <x:c r="A139" s="24" t="str">
        <x:v>PRD.15</x:v>
      </x:c>
      <x:c r="B139" s="25" t="str">
        <x:v>Produção</x:v>
      </x:c>
      <x:c r="C139" s="25" t="str">
        <x:v>Assistente de Produção</x:v>
      </x:c>
      <x:c r="D139" s="18" t="str">
        <x:v>Transferência</x:v>
      </x:c>
      <x:c r="E139" s="18" t="str">
        <x:v>Volume transferido</x:v>
      </x:c>
      <x:c r="F139" s="18" t="str">
        <x:v>Registrar medidor de vazão ou pesagem, perdas e volume no fermentador.</x:v>
      </x:c>
      <x:c r="G139" s="26" t="str">
        <x:v>MVP 2</x:v>
      </x:c>
      <x:c r="H139" s="26" t="str">
        <x:v>Essencial</x:v>
      </x:c>
      <x:c r="I139" s="26" t="str">
        <x:v>Cervejeiro / Produção</x:v>
      </x:c>
    </x:row>
    <x:row r="140" ht="30" customHeight="1">
      <x:c r="A140" s="24" t="str">
        <x:v>PRD.16</x:v>
      </x:c>
      <x:c r="B140" s="25" t="str">
        <x:v>Produção</x:v>
      </x:c>
      <x:c r="C140" s="25" t="str">
        <x:v>Assistente de Produção</x:v>
      </x:c>
      <x:c r="D140" s="18" t="str">
        <x:v>Pós-fervura</x:v>
      </x:c>
      <x:c r="E140" s="18" t="str">
        <x:v>OG e correção final</x:v>
      </x:c>
      <x:c r="F140" s="18" t="str">
        <x:v>Comparar OG/volume e mostrar impactos de qualquer ajuste.</x:v>
      </x:c>
      <x:c r="G140" s="26" t="str">
        <x:v>MVP 2</x:v>
      </x:c>
      <x:c r="H140" s="26" t="str">
        <x:v>Essencial</x:v>
      </x:c>
      <x:c r="I140" s="26" t="str">
        <x:v>Cervejeiro / Produção</x:v>
      </x:c>
    </x:row>
    <x:row r="141" ht="30" customHeight="1">
      <x:c r="A141" s="24" t="str">
        <x:v>PRD.17</x:v>
      </x:c>
      <x:c r="B141" s="25" t="str">
        <x:v>Produção</x:v>
      </x:c>
      <x:c r="C141" s="25" t="str">
        <x:v>Assistente de Produção</x:v>
      </x:c>
      <x:c r="D141" s="18" t="str">
        <x:v>Inoculação</x:v>
      </x:c>
      <x:c r="E141" s="18" t="str">
        <x:v>Pitch de levedura</x:v>
      </x:c>
      <x:c r="F141" s="18" t="str">
        <x:v>Calcular células necessárias, viabilidade, starter e temperatura de inoculação.</x:v>
      </x:c>
      <x:c r="G141" s="26" t="str">
        <x:v>MVP 2</x:v>
      </x:c>
      <x:c r="H141" s="26" t="str">
        <x:v>Essencial</x:v>
      </x:c>
      <x:c r="I141" s="26" t="str">
        <x:v>Cervejeiro / Produção</x:v>
      </x:c>
    </x:row>
    <x:row r="142" ht="30" customHeight="1">
      <x:c r="A142" s="24" t="str">
        <x:v>PRD.18</x:v>
      </x:c>
      <x:c r="B142" s="25" t="str">
        <x:v>Produção</x:v>
      </x:c>
      <x:c r="C142" s="25" t="str">
        <x:v>Assistente de Produção</x:v>
      </x:c>
      <x:c r="D142" s="18" t="str">
        <x:v>Desvios</x:v>
      </x:c>
      <x:c r="E142" s="18" t="str">
        <x:v>Plano versus realizado</x:v>
      </x:c>
      <x:c r="F142" s="18" t="str">
        <x:v>Preservar metas, registrar valores reais e classificar severidade.</x:v>
      </x:c>
      <x:c r="G142" s="26" t="str">
        <x:v>MVP 2</x:v>
      </x:c>
      <x:c r="H142" s="26" t="str">
        <x:v>Essencial</x:v>
      </x:c>
      <x:c r="I142" s="26" t="str">
        <x:v>Cervejeiro / Produção</x:v>
      </x:c>
    </x:row>
    <x:row r="143" ht="30" customHeight="1">
      <x:c r="A143" s="24" t="str">
        <x:v>PRD.19</x:v>
      </x:c>
      <x:c r="B143" s="25" t="str">
        <x:v>Produção</x:v>
      </x:c>
      <x:c r="C143" s="25" t="str">
        <x:v>Assistente de Produção</x:v>
      </x:c>
      <x:c r="D143" s="18" t="str">
        <x:v>Segurança</x:v>
      </x:c>
      <x:c r="E143" s="18" t="str">
        <x:v>Confirmação de ação</x:v>
      </x:c>
      <x:c r="F143" s="18" t="str">
        <x:v>Nenhuma correção altera plano, estoque ou equipamento sem ação explícita.</x:v>
      </x:c>
      <x:c r="G143" s="26" t="str">
        <x:v>MVP 2</x:v>
      </x:c>
      <x:c r="H143" s="26" t="str">
        <x:v>Essencial</x:v>
      </x:c>
      <x:c r="I143" s="26" t="str">
        <x:v>Cervejeiro / Produção</x:v>
      </x:c>
    </x:row>
    <x:row r="144" ht="30" customHeight="1">
      <x:c r="A144" s="24" t="str">
        <x:v>PRD.20</x:v>
      </x:c>
      <x:c r="B144" s="25" t="str">
        <x:v>Produção</x:v>
      </x:c>
      <x:c r="C144" s="25" t="str">
        <x:v>Assistente de Produção</x:v>
      </x:c>
      <x:c r="D144" s="18" t="str">
        <x:v>Retomada</x:v>
      </x:c>
      <x:c r="E144" s="18" t="str">
        <x:v>Continuar após interrupção</x:v>
      </x:c>
      <x:c r="F144" s="18" t="str">
        <x:v>Salvar estado, cronômetros e contexto para recuperar a sessão.</x:v>
      </x:c>
      <x:c r="G144" s="26" t="str">
        <x:v>MVP 2</x:v>
      </x:c>
      <x:c r="H144" s="26" t="str">
        <x:v>Essencial</x:v>
      </x:c>
      <x:c r="I144" s="26" t="str">
        <x:v>Cervejeiro / Produção</x:v>
      </x:c>
    </x:row>
    <x:row r="145" ht="30" customHeight="1">
      <x:c r="A145" s="24" t="str">
        <x:v>CLN.01</x:v>
      </x:c>
      <x:c r="B145" s="25" t="str">
        <x:v>Produção</x:v>
      </x:c>
      <x:c r="C145" s="25" t="str">
        <x:v>Limpeza e Sanitização</x:v>
      </x:c>
      <x:c r="D145" s="18" t="str">
        <x:v>Procedimentos</x:v>
      </x:c>
      <x:c r="E145" s="18" t="str">
        <x:v>Cadastrar POP</x:v>
      </x:c>
      <x:c r="F145" s="18" t="str">
        <x:v>Definir equipamento, produto, concentração, temperatura, contato e enxágue.</x:v>
      </x:c>
      <x:c r="G145" s="26" t="str">
        <x:v>MVP 2</x:v>
      </x:c>
      <x:c r="H145" s="26" t="str">
        <x:v>Essencial</x:v>
      </x:c>
      <x:c r="I145" s="26" t="str">
        <x:v>Produção / Qualidade</x:v>
      </x:c>
    </x:row>
    <x:row r="146" ht="30" customHeight="1">
      <x:c r="A146" s="24" t="str">
        <x:v>CLN.02</x:v>
      </x:c>
      <x:c r="B146" s="25" t="str">
        <x:v>Produção</x:v>
      </x:c>
      <x:c r="C146" s="25" t="str">
        <x:v>Limpeza e Sanitização</x:v>
      </x:c>
      <x:c r="D146" s="18" t="str">
        <x:v>Checklist</x:v>
      </x:c>
      <x:c r="E146" s="18" t="str">
        <x:v>Pré-uso</x:v>
      </x:c>
      <x:c r="F146" s="18" t="str">
        <x:v>Confirmar limpeza e sanitização antes de liberar equipamento.</x:v>
      </x:c>
      <x:c r="G146" s="26" t="str">
        <x:v>MVP 2</x:v>
      </x:c>
      <x:c r="H146" s="26" t="str">
        <x:v>Essencial</x:v>
      </x:c>
      <x:c r="I146" s="26" t="str">
        <x:v>Produção / Qualidade</x:v>
      </x:c>
    </x:row>
    <x:row r="147" ht="30" customHeight="1">
      <x:c r="A147" s="24" t="str">
        <x:v>CLN.03</x:v>
      </x:c>
      <x:c r="B147" s="25" t="str">
        <x:v>Produção</x:v>
      </x:c>
      <x:c r="C147" s="25" t="str">
        <x:v>Limpeza e Sanitização</x:v>
      </x:c>
      <x:c r="D147" s="18" t="str">
        <x:v>Checklist</x:v>
      </x:c>
      <x:c r="E147" s="18" t="str">
        <x:v>Pós-uso</x:v>
      </x:c>
      <x:c r="F147" s="18" t="str">
        <x:v>Registrar desmontagem, lavagem, inspeção e armazenamento.</x:v>
      </x:c>
      <x:c r="G147" s="26" t="str">
        <x:v>MVP 2</x:v>
      </x:c>
      <x:c r="H147" s="26" t="str">
        <x:v>Essencial</x:v>
      </x:c>
      <x:c r="I147" s="26" t="str">
        <x:v>Produção / Qualidade</x:v>
      </x:c>
    </x:row>
    <x:row r="148" ht="30" customHeight="1">
      <x:c r="A148" s="24" t="str">
        <x:v>CLN.04</x:v>
      </x:c>
      <x:c r="B148" s="25" t="str">
        <x:v>Produção</x:v>
      </x:c>
      <x:c r="C148" s="25" t="str">
        <x:v>Limpeza e Sanitização</x:v>
      </x:c>
      <x:c r="D148" s="18" t="str">
        <x:v>Produtos</x:v>
      </x:c>
      <x:c r="E148" s="18" t="str">
        <x:v>Controle químico</x:v>
      </x:c>
      <x:c r="F148" s="18" t="str">
        <x:v>Rastrear detergente, sanitizante, lote, validade e consumo.</x:v>
      </x:c>
      <x:c r="G148" s="26" t="str">
        <x:v>MVP 2</x:v>
      </x:c>
      <x:c r="H148" s="26" t="str">
        <x:v>Essencial</x:v>
      </x:c>
      <x:c r="I148" s="26" t="str">
        <x:v>Produção / Qualidade</x:v>
      </x:c>
    </x:row>
    <x:row r="149" ht="30" customHeight="1">
      <x:c r="A149" s="24" t="str">
        <x:v>CLN.05</x:v>
      </x:c>
      <x:c r="B149" s="25" t="str">
        <x:v>Produção</x:v>
      </x:c>
      <x:c r="C149" s="25" t="str">
        <x:v>Limpeza e Sanitização</x:v>
      </x:c>
      <x:c r="D149" s="18" t="str">
        <x:v>CIP</x:v>
      </x:c>
      <x:c r="E149" s="18" t="str">
        <x:v>Ciclo automatizado/manual</x:v>
      </x:c>
      <x:c r="F149" s="18" t="str">
        <x:v>Registrar fases, vazão, temperatura, condutividade e duração.</x:v>
      </x:c>
      <x:c r="G149" s="26" t="str">
        <x:v>MVP 2</x:v>
      </x:c>
      <x:c r="H149" s="26" t="str">
        <x:v>Essencial</x:v>
      </x:c>
      <x:c r="I149" s="26" t="str">
        <x:v>Produção / Qualidade</x:v>
      </x:c>
    </x:row>
    <x:row r="150" ht="30" customHeight="1">
      <x:c r="A150" s="24" t="str">
        <x:v>CLN.06</x:v>
      </x:c>
      <x:c r="B150" s="25" t="str">
        <x:v>Produção</x:v>
      </x:c>
      <x:c r="C150" s="25" t="str">
        <x:v>Limpeza e Sanitização</x:v>
      </x:c>
      <x:c r="D150" s="18" t="str">
        <x:v>Verificação</x:v>
      </x:c>
      <x:c r="E150" s="18" t="str">
        <x:v>Concentração e pH</x:v>
      </x:c>
      <x:c r="F150" s="18" t="str">
        <x:v>Registrar medição da solução e conformidade com o POP.</x:v>
      </x:c>
      <x:c r="G150" s="26" t="str">
        <x:v>MVP 2</x:v>
      </x:c>
      <x:c r="H150" s="26" t="str">
        <x:v>Essencial</x:v>
      </x:c>
      <x:c r="I150" s="26" t="str">
        <x:v>Produção / Qualidade</x:v>
      </x:c>
    </x:row>
    <x:row r="151" ht="30" customHeight="1">
      <x:c r="A151" s="24" t="str">
        <x:v>CLN.07</x:v>
      </x:c>
      <x:c r="B151" s="25" t="str">
        <x:v>Produção</x:v>
      </x:c>
      <x:c r="C151" s="25" t="str">
        <x:v>Limpeza e Sanitização</x:v>
      </x:c>
      <x:c r="D151" s="18" t="str">
        <x:v>Liberação</x:v>
      </x:c>
      <x:c r="E151" s="18" t="str">
        <x:v>Aprovação de equipamento</x:v>
      </x:c>
      <x:c r="F151" s="18" t="str">
        <x:v>Bloquear uso quando limpeza estiver vencida ou reprovada.</x:v>
      </x:c>
      <x:c r="G151" s="26" t="str">
        <x:v>MVP 2</x:v>
      </x:c>
      <x:c r="H151" s="26" t="str">
        <x:v>Essencial</x:v>
      </x:c>
      <x:c r="I151" s="26" t="str">
        <x:v>Produção / Qualidade</x:v>
      </x:c>
    </x:row>
    <x:row r="152" ht="30" customHeight="1">
      <x:c r="A152" s="24" t="str">
        <x:v>CLN.08</x:v>
      </x:c>
      <x:c r="B152" s="25" t="str">
        <x:v>Produção</x:v>
      </x:c>
      <x:c r="C152" s="25" t="str">
        <x:v>Limpeza e Sanitização</x:v>
      </x:c>
      <x:c r="D152" s="18" t="str">
        <x:v>Ocorrências</x:v>
      </x:c>
      <x:c r="E152" s="18" t="str">
        <x:v>Não conformidade</x:v>
      </x:c>
      <x:c r="F152" s="18" t="str">
        <x:v>Registrar contaminação, biofilme, odor, resíduo e ação corretiva.</x:v>
      </x:c>
      <x:c r="G152" s="26" t="str">
        <x:v>MVP 2</x:v>
      </x:c>
      <x:c r="H152" s="26" t="str">
        <x:v>Essencial</x:v>
      </x:c>
      <x:c r="I152" s="26" t="str">
        <x:v>Produção / Qualidade</x:v>
      </x:c>
    </x:row>
    <x:row r="153" ht="30" customHeight="1">
      <x:c r="A153" s="24" t="str">
        <x:v>CLN.09</x:v>
      </x:c>
      <x:c r="B153" s="25" t="str">
        <x:v>Produção</x:v>
      </x:c>
      <x:c r="C153" s="25" t="str">
        <x:v>Limpeza e Sanitização</x:v>
      </x:c>
      <x:c r="D153" s="18" t="str">
        <x:v>Histórico</x:v>
      </x:c>
      <x:c r="E153" s="18" t="str">
        <x:v>Rastreabilidade</x:v>
      </x:c>
      <x:c r="F153" s="18" t="str">
        <x:v>Relacionar ciclo de limpeza ao equipamento, operador e lote seguinte.</x:v>
      </x:c>
      <x:c r="G153" s="26" t="str">
        <x:v>MVP 2</x:v>
      </x:c>
      <x:c r="H153" s="26" t="str">
        <x:v>Essencial</x:v>
      </x:c>
      <x:c r="I153" s="26" t="str">
        <x:v>Produção / Qualidade</x:v>
      </x:c>
    </x:row>
    <x:row r="154" ht="30" customHeight="1">
      <x:c r="A154" s="24" t="str">
        <x:v>CLN.10</x:v>
      </x:c>
      <x:c r="B154" s="25" t="str">
        <x:v>Produção</x:v>
      </x:c>
      <x:c r="C154" s="25" t="str">
        <x:v>Limpeza e Sanitização</x:v>
      </x:c>
      <x:c r="D154" s="18" t="str">
        <x:v>Matriz inteligente</x:v>
      </x:c>
      <x:c r="E154" s="18" t="str">
        <x:v>Perfil por equipamento</x:v>
      </x:c>
      <x:c r="F154" s="18" t="str">
        <x:v>Relacionar tipo, material, área de contato, sujidade, risco e procedimento aplicável.</x:v>
      </x:c>
      <x:c r="G154" s="26" t="str">
        <x:v>MVP 2</x:v>
      </x:c>
      <x:c r="H154" s="26" t="str">
        <x:v>Essencial</x:v>
      </x:c>
      <x:c r="I154" s="26" t="str">
        <x:v>Produção / Qualidade</x:v>
      </x:c>
    </x:row>
    <x:row r="155" ht="30" customHeight="1">
      <x:c r="A155" s="24" t="str">
        <x:v>CLN.11</x:v>
      </x:c>
      <x:c r="B155" s="25" t="str">
        <x:v>Produção</x:v>
      </x:c>
      <x:c r="C155" s="25" t="str">
        <x:v>Limpeza e Sanitização</x:v>
      </x:c>
      <x:c r="D155" s="18" t="str">
        <x:v>Matriz inteligente</x:v>
      </x:c>
      <x:c r="E155" s="18" t="str">
        <x:v>Método recomendado</x:v>
      </x:c>
      <x:c r="F155" s="18" t="str">
        <x:v>Selecionar CIP, COP, manual, imersão ou térmico conforme equipamento e fabricante.</x:v>
      </x:c>
      <x:c r="G155" s="26" t="str">
        <x:v>MVP 2</x:v>
      </x:c>
      <x:c r="H155" s="26" t="str">
        <x:v>Essencial</x:v>
      </x:c>
      <x:c r="I155" s="26" t="str">
        <x:v>Produção / Qualidade</x:v>
      </x:c>
    </x:row>
    <x:row r="156" ht="30" customHeight="1">
      <x:c r="A156" s="24" t="str">
        <x:v>CLN.12</x:v>
      </x:c>
      <x:c r="B156" s="25" t="str">
        <x:v>Produção</x:v>
      </x:c>
      <x:c r="C156" s="25" t="str">
        <x:v>Limpeza e Sanitização</x:v>
      </x:c>
      <x:c r="D156" s="18" t="str">
        <x:v>Matriz inteligente</x:v>
      </x:c>
      <x:c r="E156" s="18" t="str">
        <x:v>Alternativas permitidas</x:v>
      </x:c>
      <x:c r="F156" s="18" t="str">
        <x:v>Apresentar procedimento alternativo quando o produto ou método principal não estiver disponível.</x:v>
      </x:c>
      <x:c r="G156" s="26" t="str">
        <x:v>MVP 2</x:v>
      </x:c>
      <x:c r="H156" s="26" t="str">
        <x:v>Essencial</x:v>
      </x:c>
      <x:c r="I156" s="26" t="str">
        <x:v>Produção / Qualidade</x:v>
      </x:c>
    </x:row>
    <x:row r="157" ht="30" customHeight="1">
      <x:c r="A157" s="24" t="str">
        <x:v>CLN.13</x:v>
      </x:c>
      <x:c r="B157" s="25" t="str">
        <x:v>Produção</x:v>
      </x:c>
      <x:c r="C157" s="25" t="str">
        <x:v>Limpeza e Sanitização</x:v>
      </x:c>
      <x:c r="D157" s="18" t="str">
        <x:v>Matriz inteligente</x:v>
      </x:c>
      <x:c r="E157" s="18" t="str">
        <x:v>Métodos proibidos</x:v>
      </x:c>
      <x:c r="F157" s="18" t="str">
        <x:v>Bloquear temperatura, produto, abrasão ou concentração incompatível com o material.</x:v>
      </x:c>
      <x:c r="G157" s="26" t="str">
        <x:v>MVP 2</x:v>
      </x:c>
      <x:c r="H157" s="26" t="str">
        <x:v>Essencial</x:v>
      </x:c>
      <x:c r="I157" s="26" t="str">
        <x:v>Produção / Qualidade</x:v>
      </x:c>
    </x:row>
    <x:row r="158" ht="30" customHeight="1">
      <x:c r="A158" s="24" t="str">
        <x:v>CLN.14</x:v>
      </x:c>
      <x:c r="B158" s="25" t="str">
        <x:v>Produção</x:v>
      </x:c>
      <x:c r="C158" s="25" t="str">
        <x:v>Limpeza e Sanitização</x:v>
      </x:c>
      <x:c r="D158" s="18" t="str">
        <x:v>Sequência</x:v>
      </x:c>
      <x:c r="E158" s="18" t="str">
        <x:v>Limpeza antes da sanitização</x:v>
      </x:c>
      <x:c r="F158" s="18" t="str">
        <x:v>Impedir status sanitizado quando a limpeza e o enxágue anteriores não estiverem aprovados.</x:v>
      </x:c>
      <x:c r="G158" s="26" t="str">
        <x:v>MVP 2</x:v>
      </x:c>
      <x:c r="H158" s="26" t="str">
        <x:v>Essencial</x:v>
      </x:c>
      <x:c r="I158" s="26" t="str">
        <x:v>Produção / Qualidade</x:v>
      </x:c>
    </x:row>
    <x:row r="159" ht="30" customHeight="1">
      <x:c r="A159" s="24" t="str">
        <x:v>CLN.15</x:v>
      </x:c>
      <x:c r="B159" s="25" t="str">
        <x:v>Produção</x:v>
      </x:c>
      <x:c r="C159" s="25" t="str">
        <x:v>Limpeza e Sanitização</x:v>
      </x:c>
      <x:c r="D159" s="18" t="str">
        <x:v>Sequência</x:v>
      </x:c>
      <x:c r="E159" s="18" t="str">
        <x:v>Etapas versionadas</x:v>
      </x:c>
      <x:c r="F159" s="18" t="str">
        <x:v>Controlar pré-enxágue, detergência, ação mecânica, enxágue, desincrustação e sanitização.</x:v>
      </x:c>
      <x:c r="G159" s="26" t="str">
        <x:v>MVP 2</x:v>
      </x:c>
      <x:c r="H159" s="26" t="str">
        <x:v>Essencial</x:v>
      </x:c>
      <x:c r="I159" s="26" t="str">
        <x:v>Produção / Qualidade</x:v>
      </x:c>
    </x:row>
    <x:row r="160" ht="30" customHeight="1">
      <x:c r="A160" s="24" t="str">
        <x:v>CLN.16</x:v>
      </x:c>
      <x:c r="B160" s="25" t="str">
        <x:v>Produção</x:v>
      </x:c>
      <x:c r="C160" s="25" t="str">
        <x:v>Limpeza e Sanitização</x:v>
      </x:c>
      <x:c r="D160" s="18" t="str">
        <x:v>Parâmetros</x:v>
      </x:c>
      <x:c r="E160" s="18" t="str">
        <x:v>Círculo de Sinner</x:v>
      </x:c>
      <x:c r="F160" s="18" t="str">
        <x:v>Registrar tempo, temperatura, ação química e ação mecânica/vazão de cada ciclo.</x:v>
      </x:c>
      <x:c r="G160" s="26" t="str">
        <x:v>MVP 2</x:v>
      </x:c>
      <x:c r="H160" s="26" t="str">
        <x:v>Essencial</x:v>
      </x:c>
      <x:c r="I160" s="26" t="str">
        <x:v>Produção / Qualidade</x:v>
      </x:c>
    </x:row>
    <x:row r="161" ht="30" customHeight="1">
      <x:c r="A161" s="24" t="str">
        <x:v>CLN.17</x:v>
      </x:c>
      <x:c r="B161" s="25" t="str">
        <x:v>Produção</x:v>
      </x:c>
      <x:c r="C161" s="25" t="str">
        <x:v>Limpeza e Sanitização</x:v>
      </x:c>
      <x:c r="D161" s="18" t="str">
        <x:v>Compatibilidade</x:v>
      </x:c>
      <x:c r="E161" s="18" t="str">
        <x:v>Produto versus material</x:v>
      </x:c>
      <x:c r="F161" s="18" t="str">
        <x:v>Manter matriz para inox, plástico, silicone, vidro, elastômero, madeira e revestimentos.</x:v>
      </x:c>
      <x:c r="G161" s="26" t="str">
        <x:v>MVP 2</x:v>
      </x:c>
      <x:c r="H161" s="26" t="str">
        <x:v>Essencial</x:v>
      </x:c>
      <x:c r="I161" s="26" t="str">
        <x:v>Produção / Qualidade</x:v>
      </x:c>
    </x:row>
    <x:row r="162" ht="30" customHeight="1">
      <x:c r="A162" s="24" t="str">
        <x:v>CLN.18</x:v>
      </x:c>
      <x:c r="B162" s="25" t="str">
        <x:v>Produção</x:v>
      </x:c>
      <x:c r="C162" s="25" t="str">
        <x:v>Limpeza e Sanitização</x:v>
      </x:c>
      <x:c r="D162" s="18" t="str">
        <x:v>Segurança</x:v>
      </x:c>
      <x:c r="E162" s="18" t="str">
        <x:v>FISPQ/SDS e EPIs</x:v>
      </x:c>
      <x:c r="F162" s="18" t="str">
        <x:v>Vincular ficha de segurança, riscos, EPIs, primeiros socorros e restrições de mistura.</x:v>
      </x:c>
      <x:c r="G162" s="26" t="str">
        <x:v>MVP 2</x:v>
      </x:c>
      <x:c r="H162" s="26" t="str">
        <x:v>Essencial</x:v>
      </x:c>
      <x:c r="I162" s="26" t="str">
        <x:v>Produção / Qualidade</x:v>
      </x:c>
    </x:row>
    <x:row r="163" ht="30" customHeight="1">
      <x:c r="A163" s="24" t="str">
        <x:v>CLN.19</x:v>
      </x:c>
      <x:c r="B163" s="25" t="str">
        <x:v>Produção</x:v>
      </x:c>
      <x:c r="C163" s="25" t="str">
        <x:v>Limpeza e Sanitização</x:v>
      </x:c>
      <x:c r="D163" s="18" t="str">
        <x:v>Verificação</x:v>
      </x:c>
      <x:c r="E163" s="18" t="str">
        <x:v>Fim do enxágue</x:v>
      </x:c>
      <x:c r="F163" s="18" t="str">
        <x:v>Validar por pH, condutividade, ausência de espuma ou critério definido no POP.</x:v>
      </x:c>
      <x:c r="G163" s="26" t="str">
        <x:v>MVP 2</x:v>
      </x:c>
      <x:c r="H163" s="26" t="str">
        <x:v>Essencial</x:v>
      </x:c>
      <x:c r="I163" s="26" t="str">
        <x:v>Produção / Qualidade</x:v>
      </x:c>
    </x:row>
    <x:row r="164" ht="30" customHeight="1">
      <x:c r="A164" s="24" t="str">
        <x:v>CLN.20</x:v>
      </x:c>
      <x:c r="B164" s="25" t="str">
        <x:v>Produção</x:v>
      </x:c>
      <x:c r="C164" s="25" t="str">
        <x:v>Limpeza e Sanitização</x:v>
      </x:c>
      <x:c r="D164" s="18" t="str">
        <x:v>Verificação</x:v>
      </x:c>
      <x:c r="E164" s="18" t="str">
        <x:v>ATP e microbiologia</x:v>
      </x:c>
      <x:c r="F164" s="18" t="str">
        <x:v>Registrar ATP, swab, amostra microbiológica, limite, resultado e responsável.</x:v>
      </x:c>
      <x:c r="G164" s="26" t="str">
        <x:v>MVP 2</x:v>
      </x:c>
      <x:c r="H164" s="26" t="str">
        <x:v>Essencial</x:v>
      </x:c>
      <x:c r="I164" s="26" t="str">
        <x:v>Produção / Qualidade</x:v>
      </x:c>
    </x:row>
    <x:row r="165" ht="30" customHeight="1">
      <x:c r="A165" s="24" t="str">
        <x:v>CLN.21</x:v>
      </x:c>
      <x:c r="B165" s="25" t="str">
        <x:v>Produção</x:v>
      </x:c>
      <x:c r="C165" s="25" t="str">
        <x:v>Limpeza e Sanitização</x:v>
      </x:c>
      <x:c r="D165" s="18" t="str">
        <x:v>Validação</x:v>
      </x:c>
      <x:c r="E165" s="18" t="str">
        <x:v>Cobertura do CIP</x:v>
      </x:c>
      <x:c r="F165" s="18" t="str">
        <x:v>Registrar teste de cobertura da esfera, vazão, pressão e áreas não atingidas.</x:v>
      </x:c>
      <x:c r="G165" s="26" t="str">
        <x:v>MVP 2</x:v>
      </x:c>
      <x:c r="H165" s="26" t="str">
        <x:v>Essencial</x:v>
      </x:c>
      <x:c r="I165" s="26" t="str">
        <x:v>Produção / Qualidade</x:v>
      </x:c>
    </x:row>
    <x:row r="166" ht="30" customHeight="1">
      <x:c r="A166" s="24" t="str">
        <x:v>CLN.22</x:v>
      </x:c>
      <x:c r="B166" s="25" t="str">
        <x:v>Produção</x:v>
      </x:c>
      <x:c r="C166" s="25" t="str">
        <x:v>Limpeza e Sanitização</x:v>
      </x:c>
      <x:c r="D166" s="18" t="str">
        <x:v>Inspeção</x:v>
      </x:c>
      <x:c r="E166" s="18" t="str">
        <x:v>Desmontagem programada</x:v>
      </x:c>
      <x:c r="F166" s="18" t="str">
        <x:v>Exigir COP periódico de válvulas, bombas, juntas, conexões, torneiras e acopladores.</x:v>
      </x:c>
      <x:c r="G166" s="26" t="str">
        <x:v>MVP 2</x:v>
      </x:c>
      <x:c r="H166" s="26" t="str">
        <x:v>Essencial</x:v>
      </x:c>
      <x:c r="I166" s="26" t="str">
        <x:v>Produção / Qualidade</x:v>
      </x:c>
    </x:row>
    <x:row r="167" ht="30" customHeight="1">
      <x:c r="A167" s="24" t="str">
        <x:v>CLN.23</x:v>
      </x:c>
      <x:c r="B167" s="25" t="str">
        <x:v>Produção</x:v>
      </x:c>
      <x:c r="C167" s="25" t="str">
        <x:v>Limpeza e Sanitização</x:v>
      </x:c>
      <x:c r="D167" s="18" t="str">
        <x:v>Zonamento</x:v>
      </x:c>
      <x:c r="E167" s="18" t="str">
        <x:v>Áreas higiênicas</x:v>
      </x:c>
      <x:c r="F167" s="18" t="str">
        <x:v>Classificar área quente, fria, limpa, suja, embalagem, laboratório e armazenamento químico.</x:v>
      </x:c>
      <x:c r="G167" s="26" t="str">
        <x:v>MVP 2</x:v>
      </x:c>
      <x:c r="H167" s="26" t="str">
        <x:v>Essencial</x:v>
      </x:c>
      <x:c r="I167" s="26" t="str">
        <x:v>Produção / Qualidade</x:v>
      </x:c>
    </x:row>
    <x:row r="168" ht="30" customHeight="1">
      <x:c r="A168" s="24" t="str">
        <x:v>CLN.24</x:v>
      </x:c>
      <x:c r="B168" s="25" t="str">
        <x:v>Produção</x:v>
      </x:c>
      <x:c r="C168" s="25" t="str">
        <x:v>Limpeza e Sanitização</x:v>
      </x:c>
      <x:c r="D168" s="18" t="str">
        <x:v>Contaminação</x:v>
      </x:c>
      <x:c r="E168" s="18" t="str">
        <x:v>Equipamentos dedicados</x:v>
      </x:c>
      <x:c r="F168" s="18" t="str">
        <x:v>Separar mangueiras e utensílios de cervejas limpas, ácidas, selvagens ou com frutas.</x:v>
      </x:c>
      <x:c r="G168" s="26" t="str">
        <x:v>MVP 2</x:v>
      </x:c>
      <x:c r="H168" s="26" t="str">
        <x:v>Essencial</x:v>
      </x:c>
      <x:c r="I168" s="26" t="str">
        <x:v>Produção / Qualidade</x:v>
      </x:c>
    </x:row>
    <x:row r="169" ht="30" customHeight="1">
      <x:c r="A169" s="24" t="str">
        <x:v>CLN.25</x:v>
      </x:c>
      <x:c r="B169" s="25" t="str">
        <x:v>Produção</x:v>
      </x:c>
      <x:c r="C169" s="25" t="str">
        <x:v>Limpeza e Sanitização</x:v>
      </x:c>
      <x:c r="D169" s="18" t="str">
        <x:v>Alergênicos</x:v>
      </x:c>
      <x:c r="E169" s="18" t="str">
        <x:v>Troca de produto</x:v>
      </x:c>
      <x:c r="F169" s="18" t="str">
        <x:v>Selecionar limpeza reforçada conforme ingrediente anterior e risco de contato cruzado.</x:v>
      </x:c>
      <x:c r="G169" s="26" t="str">
        <x:v>MVP 2</x:v>
      </x:c>
      <x:c r="H169" s="26" t="str">
        <x:v>Essencial</x:v>
      </x:c>
      <x:c r="I169" s="26" t="str">
        <x:v>Produção / Qualidade</x:v>
      </x:c>
    </x:row>
    <x:row r="170" ht="30" customHeight="1">
      <x:c r="A170" s="24" t="str">
        <x:v>CLN.26</x:v>
      </x:c>
      <x:c r="B170" s="25" t="str">
        <x:v>Produção</x:v>
      </x:c>
      <x:c r="C170" s="25" t="str">
        <x:v>Limpeza e Sanitização</x:v>
      </x:c>
      <x:c r="D170" s="18" t="str">
        <x:v>Sustentabilidade</x:v>
      </x:c>
      <x:c r="E170" s="18" t="str">
        <x:v>Consumo do ciclo</x:v>
      </x:c>
      <x:c r="F170" s="18" t="str">
        <x:v>Registrar água, energia, detergente, sanitizante e efluente por limpeza.</x:v>
      </x:c>
      <x:c r="G170" s="26" t="str">
        <x:v>MVP 2</x:v>
      </x:c>
      <x:c r="H170" s="26" t="str">
        <x:v>Essencial</x:v>
      </x:c>
      <x:c r="I170" s="26" t="str">
        <x:v>Produção / Qualidade</x:v>
      </x:c>
    </x:row>
    <x:row r="171" ht="30" customHeight="1">
      <x:c r="A171" s="24" t="str">
        <x:v>CLN.27</x:v>
      </x:c>
      <x:c r="B171" s="25" t="str">
        <x:v>Produção</x:v>
      </x:c>
      <x:c r="C171" s="25" t="str">
        <x:v>Limpeza e Sanitização</x:v>
      </x:c>
      <x:c r="D171" s="18" t="str">
        <x:v>Otimização</x:v>
      </x:c>
      <x:c r="E171" s="18" t="str">
        <x:v>Ciclo padrão versus realizado</x:v>
      </x:c>
      <x:c r="F171" s="18" t="str">
        <x:v>Comparar duração, consumo, parâmetros e resultado para reduzir desperdício sem perder eficácia.</x:v>
      </x:c>
      <x:c r="G171" s="26" t="str">
        <x:v>MVP 2</x:v>
      </x:c>
      <x:c r="H171" s="26" t="str">
        <x:v>Essencial</x:v>
      </x:c>
      <x:c r="I171" s="26" t="str">
        <x:v>Produção / Qualidade</x:v>
      </x:c>
    </x:row>
    <x:row r="172" ht="30" customHeight="1">
      <x:c r="A172" s="24" t="str">
        <x:v>CLN.28</x:v>
      </x:c>
      <x:c r="B172" s="25" t="str">
        <x:v>Produção</x:v>
      </x:c>
      <x:c r="C172" s="25" t="str">
        <x:v>Limpeza e Sanitização</x:v>
      </x:c>
      <x:c r="D172" s="18" t="str">
        <x:v>Identificação</x:v>
      </x:c>
      <x:c r="E172" s="18" t="str">
        <x:v>QR code do equipamento</x:v>
      </x:c>
      <x:c r="F172" s="18" t="str">
        <x:v>Abrir POP, iniciar ciclo, consultar histórico e liberar equipamento pela leitura do código.</x:v>
      </x:c>
      <x:c r="G172" s="26" t="str">
        <x:v>MVP 2</x:v>
      </x:c>
      <x:c r="H172" s="26" t="str">
        <x:v>Essencial</x:v>
      </x:c>
      <x:c r="I172" s="26" t="str">
        <x:v>Produção / Qualidade</x:v>
      </x:c>
    </x:row>
    <x:row r="173" ht="30" customHeight="1">
      <x:c r="A173" s="24" t="str">
        <x:v>CLN.29</x:v>
      </x:c>
      <x:c r="B173" s="25" t="str">
        <x:v>Produção</x:v>
      </x:c>
      <x:c r="C173" s="25" t="str">
        <x:v>Limpeza e Sanitização</x:v>
      </x:c>
      <x:c r="D173" s="18" t="str">
        <x:v>Risco</x:v>
      </x:c>
      <x:c r="E173" s="18" t="str">
        <x:v>Pontuação de higienização</x:v>
      </x:c>
      <x:c r="F173" s="18" t="str">
        <x:v>Calcular risco por equipamento, produto anterior, tempo parado, resultado e falhas recentes.</x:v>
      </x:c>
      <x:c r="G173" s="26" t="str">
        <x:v>MVP 2</x:v>
      </x:c>
      <x:c r="H173" s="26" t="str">
        <x:v>Essencial</x:v>
      </x:c>
      <x:c r="I173" s="26" t="str">
        <x:v>Produção / Qualidade</x:v>
      </x:c>
    </x:row>
    <x:row r="174" ht="30" customHeight="1">
      <x:c r="A174" s="24" t="str">
        <x:v>FER.01</x:v>
      </x:c>
      <x:c r="B174" s="25" t="str">
        <x:v>Produção</x:v>
      </x:c>
      <x:c r="C174" s="25" t="str">
        <x:v>Fermentação e Adega</x:v>
      </x:c>
      <x:c r="D174" s="18" t="str">
        <x:v>Alocação</x:v>
      </x:c>
      <x:c r="E174" s="18" t="str">
        <x:v>Vincular fermentador</x:v>
      </x:c>
      <x:c r="F174" s="18" t="str">
        <x:v>Reservar equipamento, registrar volume, headspace e pressão inicial.</x:v>
      </x:c>
      <x:c r="G174" s="26" t="str">
        <x:v>MVP 3</x:v>
      </x:c>
      <x:c r="H174" s="26" t="str">
        <x:v>Essencial</x:v>
      </x:c>
      <x:c r="I174" s="26" t="str">
        <x:v>Cervejeiro / Produção</x:v>
      </x:c>
    </x:row>
    <x:row r="175" ht="30" customHeight="1">
      <x:c r="A175" s="24" t="str">
        <x:v>FER.02</x:v>
      </x:c>
      <x:c r="B175" s="25" t="str">
        <x:v>Produção</x:v>
      </x:c>
      <x:c r="C175" s="25" t="str">
        <x:v>Fermentação e Adega</x:v>
      </x:c>
      <x:c r="D175" s="18" t="str">
        <x:v>Perfil</x:v>
      </x:c>
      <x:c r="E175" s="18" t="str">
        <x:v>Etapas de fermentação</x:v>
      </x:c>
      <x:c r="F175" s="18" t="str">
        <x:v>Configurar temperaturas, rampas, pressão, duração e critérios de avanço.</x:v>
      </x:c>
      <x:c r="G175" s="26" t="str">
        <x:v>MVP 3</x:v>
      </x:c>
      <x:c r="H175" s="26" t="str">
        <x:v>Essencial</x:v>
      </x:c>
      <x:c r="I175" s="26" t="str">
        <x:v>Cervejeiro / Produção</x:v>
      </x:c>
    </x:row>
    <x:row r="176" ht="30" customHeight="1">
      <x:c r="A176" s="24" t="str">
        <x:v>FER.03</x:v>
      </x:c>
      <x:c r="B176" s="25" t="str">
        <x:v>Produção</x:v>
      </x:c>
      <x:c r="C176" s="25" t="str">
        <x:v>Fermentação e Adega</x:v>
      </x:c>
      <x:c r="D176" s="18" t="str">
        <x:v>Leituras</x:v>
      </x:c>
      <x:c r="E176" s="18" t="str">
        <x:v>Temperatura</x:v>
      </x:c>
      <x:c r="F176" s="18" t="str">
        <x:v>Registrar manualmente ou por sensor com origem e qualidade da leitura.</x:v>
      </x:c>
      <x:c r="G176" s="26" t="str">
        <x:v>MVP 3</x:v>
      </x:c>
      <x:c r="H176" s="26" t="str">
        <x:v>Essencial</x:v>
      </x:c>
      <x:c r="I176" s="26" t="str">
        <x:v>Cervejeiro / Produção</x:v>
      </x:c>
    </x:row>
    <x:row r="177" ht="30" customHeight="1">
      <x:c r="A177" s="24" t="str">
        <x:v>FER.04</x:v>
      </x:c>
      <x:c r="B177" s="25" t="str">
        <x:v>Produção</x:v>
      </x:c>
      <x:c r="C177" s="25" t="str">
        <x:v>Fermentação e Adega</x:v>
      </x:c>
      <x:c r="D177" s="18" t="str">
        <x:v>Leituras</x:v>
      </x:c>
      <x:c r="E177" s="18" t="str">
        <x:v>Densidade</x:v>
      </x:c>
      <x:c r="F177" s="18" t="str">
        <x:v>Registrar SG/Brix corrigido, temperatura, instrumento e amostra.</x:v>
      </x:c>
      <x:c r="G177" s="26" t="str">
        <x:v>MVP 3</x:v>
      </x:c>
      <x:c r="H177" s="26" t="str">
        <x:v>Essencial</x:v>
      </x:c>
      <x:c r="I177" s="26" t="str">
        <x:v>Cervejeiro / Produção</x:v>
      </x:c>
    </x:row>
    <x:row r="178" ht="30" customHeight="1">
      <x:c r="A178" s="24" t="str">
        <x:v>FER.05</x:v>
      </x:c>
      <x:c r="B178" s="25" t="str">
        <x:v>Produção</x:v>
      </x:c>
      <x:c r="C178" s="25" t="str">
        <x:v>Fermentação e Adega</x:v>
      </x:c>
      <x:c r="D178" s="18" t="str">
        <x:v>Leituras</x:v>
      </x:c>
      <x:c r="E178" s="18" t="str">
        <x:v>Pressão</x:v>
      </x:c>
      <x:c r="F178" s="18" t="str">
        <x:v>Registrar pressão do fermentador e alertar sobre limite do equipamento.</x:v>
      </x:c>
      <x:c r="G178" s="26" t="str">
        <x:v>MVP 3</x:v>
      </x:c>
      <x:c r="H178" s="26" t="str">
        <x:v>Essencial</x:v>
      </x:c>
      <x:c r="I178" s="26" t="str">
        <x:v>Cervejeiro / Produção</x:v>
      </x:c>
    </x:row>
    <x:row r="179" ht="30" customHeight="1">
      <x:c r="A179" s="24" t="str">
        <x:v>FER.06</x:v>
      </x:c>
      <x:c r="B179" s="25" t="str">
        <x:v>Produção</x:v>
      </x:c>
      <x:c r="C179" s="25" t="str">
        <x:v>Fermentação e Adega</x:v>
      </x:c>
      <x:c r="D179" s="18" t="str">
        <x:v>Curvas</x:v>
      </x:c>
      <x:c r="E179" s="18" t="str">
        <x:v>Gráficos de tendência</x:v>
      </x:c>
      <x:c r="F179" s="18" t="str">
        <x:v>Exibir densidade, temperatura, pressão e atenuação ao longo do tempo.</x:v>
      </x:c>
      <x:c r="G179" s="26" t="str">
        <x:v>MVP 3</x:v>
      </x:c>
      <x:c r="H179" s="26" t="str">
        <x:v>Essencial</x:v>
      </x:c>
      <x:c r="I179" s="26" t="str">
        <x:v>Cervejeiro / Produção</x:v>
      </x:c>
    </x:row>
    <x:row r="180" ht="30" customHeight="1">
      <x:c r="A180" s="24" t="str">
        <x:v>FER.07</x:v>
      </x:c>
      <x:c r="B180" s="25" t="str">
        <x:v>Produção</x:v>
      </x:c>
      <x:c r="C180" s="25" t="str">
        <x:v>Fermentação e Adega</x:v>
      </x:c>
      <x:c r="D180" s="18" t="str">
        <x:v>Estabilidade</x:v>
      </x:c>
      <x:c r="E180" s="18" t="str">
        <x:v>Critério de FG</x:v>
      </x:c>
      <x:c r="F180" s="18" t="str">
        <x:v>Avaliar leituras estáveis por janela e tolerância configuráveis.</x:v>
      </x:c>
      <x:c r="G180" s="26" t="str">
        <x:v>MVP 3</x:v>
      </x:c>
      <x:c r="H180" s="26" t="str">
        <x:v>Essencial</x:v>
      </x:c>
      <x:c r="I180" s="26" t="str">
        <x:v>Cervejeiro / Produção</x:v>
      </x:c>
    </x:row>
    <x:row r="181" ht="30" customHeight="1">
      <x:c r="A181" s="24" t="str">
        <x:v>FER.08</x:v>
      </x:c>
      <x:c r="B181" s="25" t="str">
        <x:v>Produção</x:v>
      </x:c>
      <x:c r="C181" s="25" t="str">
        <x:v>Fermentação e Adega</x:v>
      </x:c>
      <x:c r="D181" s="18" t="str">
        <x:v>Ações</x:v>
      </x:c>
      <x:c r="E181" s="18" t="str">
        <x:v>Descanso de diacetil</x:v>
      </x:c>
      <x:c r="F181" s="18" t="str">
        <x:v>Sugerir/iniciar etapa com registro de motivo e alvo.</x:v>
      </x:c>
      <x:c r="G181" s="26" t="str">
        <x:v>MVP 3</x:v>
      </x:c>
      <x:c r="H181" s="26" t="str">
        <x:v>Essencial</x:v>
      </x:c>
      <x:c r="I181" s="26" t="str">
        <x:v>Cervejeiro / Produção</x:v>
      </x:c>
    </x:row>
    <x:row r="182" ht="30" customHeight="1">
      <x:c r="A182" s="24" t="str">
        <x:v>FER.09</x:v>
      </x:c>
      <x:c r="B182" s="25" t="str">
        <x:v>Produção</x:v>
      </x:c>
      <x:c r="C182" s="25" t="str">
        <x:v>Fermentação e Adega</x:v>
      </x:c>
      <x:c r="D182" s="18" t="str">
        <x:v>Ações</x:v>
      </x:c>
      <x:c r="E182" s="18" t="str">
        <x:v>Remoção de lama</x:v>
      </x:c>
      <x:c r="F182" s="18" t="str">
        <x:v>Registrar volume, data, aspecto e impacto no saldo do lote.</x:v>
      </x:c>
      <x:c r="G182" s="26" t="str">
        <x:v>MVP 3</x:v>
      </x:c>
      <x:c r="H182" s="26" t="str">
        <x:v>Essencial</x:v>
      </x:c>
      <x:c r="I182" s="26" t="str">
        <x:v>Cervejeiro / Produção</x:v>
      </x:c>
    </x:row>
    <x:row r="183" ht="30" customHeight="1">
      <x:c r="A183" s="24" t="str">
        <x:v>FER.10</x:v>
      </x:c>
      <x:c r="B183" s="25" t="str">
        <x:v>Produção</x:v>
      </x:c>
      <x:c r="C183" s="25" t="str">
        <x:v>Fermentação e Adega</x:v>
      </x:c>
      <x:c r="D183" s="18" t="str">
        <x:v>Ações</x:v>
      </x:c>
      <x:c r="E183" s="18" t="str">
        <x:v>Dry hop</x:v>
      </x:c>
      <x:c r="F183" s="18" t="str">
        <x:v>Controlar adição, contato, temperatura, purga e remoção.</x:v>
      </x:c>
      <x:c r="G183" s="26" t="str">
        <x:v>MVP 3</x:v>
      </x:c>
      <x:c r="H183" s="26" t="str">
        <x:v>Essencial</x:v>
      </x:c>
      <x:c r="I183" s="26" t="str">
        <x:v>Cervejeiro / Produção</x:v>
      </x:c>
    </x:row>
    <x:row r="184" ht="30" customHeight="1">
      <x:c r="A184" s="24" t="str">
        <x:v>FER.11</x:v>
      </x:c>
      <x:c r="B184" s="25" t="str">
        <x:v>Produção</x:v>
      </x:c>
      <x:c r="C184" s="25" t="str">
        <x:v>Fermentação e Adega</x:v>
      </x:c>
      <x:c r="D184" s="18" t="str">
        <x:v>Ações</x:v>
      </x:c>
      <x:c r="E184" s="18" t="str">
        <x:v>Cold crash e lagering</x:v>
      </x:c>
      <x:c r="F184" s="18" t="str">
        <x:v>Controlar rampa, temperatura mínima, duração e pressão.</x:v>
      </x:c>
      <x:c r="G184" s="26" t="str">
        <x:v>MVP 3</x:v>
      </x:c>
      <x:c r="H184" s="26" t="str">
        <x:v>Essencial</x:v>
      </x:c>
      <x:c r="I184" s="26" t="str">
        <x:v>Cervejeiro / Produção</x:v>
      </x:c>
    </x:row>
    <x:row r="185" ht="30" customHeight="1">
      <x:c r="A185" s="24" t="str">
        <x:v>FER.12</x:v>
      </x:c>
      <x:c r="B185" s="25" t="str">
        <x:v>Produção</x:v>
      </x:c>
      <x:c r="C185" s="25" t="str">
        <x:v>Fermentação e Adega</x:v>
      </x:c>
      <x:c r="D185" s="18" t="str">
        <x:v>Transferência</x:v>
      </x:c>
      <x:c r="E185" s="18" t="str">
        <x:v>Entre tanques</x:v>
      </x:c>
      <x:c r="F185" s="18" t="str">
        <x:v>Registrar origem, destino, volume, perdas, purga e exposição ao oxigênio.</x:v>
      </x:c>
      <x:c r="G185" s="26" t="str">
        <x:v>MVP 3</x:v>
      </x:c>
      <x:c r="H185" s="26" t="str">
        <x:v>Essencial</x:v>
      </x:c>
      <x:c r="I185" s="26" t="str">
        <x:v>Cervejeiro / Produção</x:v>
      </x:c>
    </x:row>
    <x:row r="186" ht="30" customHeight="1">
      <x:c r="A186" s="24" t="str">
        <x:v>FER.13</x:v>
      </x:c>
      <x:c r="B186" s="25" t="str">
        <x:v>Produção</x:v>
      </x:c>
      <x:c r="C186" s="25" t="str">
        <x:v>Fermentação e Adega</x:v>
      </x:c>
      <x:c r="D186" s="18" t="str">
        <x:v>Amostras</x:v>
      </x:c>
      <x:c r="E186" s="18" t="str">
        <x:v>Coleta e destino</x:v>
      </x:c>
      <x:c r="F186" s="18" t="str">
        <x:v>Registrar volume retirado para medição, laboratório ou degustação.</x:v>
      </x:c>
      <x:c r="G186" s="26" t="str">
        <x:v>MVP 3</x:v>
      </x:c>
      <x:c r="H186" s="26" t="str">
        <x:v>Essencial</x:v>
      </x:c>
      <x:c r="I186" s="26" t="str">
        <x:v>Cervejeiro / Produção</x:v>
      </x:c>
    </x:row>
    <x:row r="187" ht="30" customHeight="1">
      <x:c r="A187" s="24" t="str">
        <x:v>FER.14</x:v>
      </x:c>
      <x:c r="B187" s="25" t="str">
        <x:v>Produção</x:v>
      </x:c>
      <x:c r="C187" s="25" t="str">
        <x:v>Fermentação e Adega</x:v>
      </x:c>
      <x:c r="D187" s="18" t="str">
        <x:v>Encerramento</x:v>
      </x:c>
      <x:c r="E187" s="18" t="str">
        <x:v>Liberar para envase</x:v>
      </x:c>
      <x:c r="F187" s="18" t="str">
        <x:v>Confirmar estabilidade, qualidade, volume e disponibilidade de embalagem.</x:v>
      </x:c>
      <x:c r="G187" s="26" t="str">
        <x:v>MVP 3</x:v>
      </x:c>
      <x:c r="H187" s="26" t="str">
        <x:v>Essencial</x:v>
      </x:c>
      <x:c r="I187" s="26" t="str">
        <x:v>Cervejeiro / Produção</x:v>
      </x:c>
    </x:row>
    <x:row r="188" ht="30" customHeight="1">
      <x:c r="A188" s="24" t="str">
        <x:v>PKG.01</x:v>
      </x:c>
      <x:c r="B188" s="25" t="str">
        <x:v>Produção</x:v>
      </x:c>
      <x:c r="C188" s="25" t="str">
        <x:v>Envase e Carbonatação</x:v>
      </x:c>
      <x:c r="D188" s="18" t="str">
        <x:v>Planejamento</x:v>
      </x:c>
      <x:c r="E188" s="18" t="str">
        <x:v>Ordem de envase</x:v>
      </x:c>
      <x:c r="F188" s="18" t="str">
        <x:v>Definir data, linha, responsável, embalagem e quantidade prevista.</x:v>
      </x:c>
      <x:c r="G188" s="26" t="str">
        <x:v>MVP 3</x:v>
      </x:c>
      <x:c r="H188" s="26" t="str">
        <x:v>Essencial</x:v>
      </x:c>
      <x:c r="I188" s="26" t="str">
        <x:v>Produção / Qualidade</x:v>
      </x:c>
    </x:row>
    <x:row r="189" ht="30" customHeight="1">
      <x:c r="A189" s="24" t="str">
        <x:v>PKG.02</x:v>
      </x:c>
      <x:c r="B189" s="25" t="str">
        <x:v>Produção</x:v>
      </x:c>
      <x:c r="C189" s="25" t="str">
        <x:v>Envase e Carbonatação</x:v>
      </x:c>
      <x:c r="D189" s="18" t="str">
        <x:v>Preparação</x:v>
      </x:c>
      <x:c r="E189" s="18" t="str">
        <x:v>Checklist de linha</x:v>
      </x:c>
      <x:c r="F189" s="18" t="str">
        <x:v>Confirmar limpeza, sanitização, CO₂, tampas, rótulos e instrumentos.</x:v>
      </x:c>
      <x:c r="G189" s="26" t="str">
        <x:v>MVP 3</x:v>
      </x:c>
      <x:c r="H189" s="26" t="str">
        <x:v>Essencial</x:v>
      </x:c>
      <x:c r="I189" s="26" t="str">
        <x:v>Produção / Qualidade</x:v>
      </x:c>
    </x:row>
    <x:row r="190" ht="30" customHeight="1">
      <x:c r="A190" s="24" t="str">
        <x:v>PKG.03</x:v>
      </x:c>
      <x:c r="B190" s="25" t="str">
        <x:v>Produção</x:v>
      </x:c>
      <x:c r="C190" s="25" t="str">
        <x:v>Envase e Carbonatação</x:v>
      </x:c>
      <x:c r="D190" s="18" t="str">
        <x:v>Carbonatação</x:v>
      </x:c>
      <x:c r="E190" s="18" t="str">
        <x:v>Forçada</x:v>
      </x:c>
      <x:c r="F190" s="18" t="str">
        <x:v>Calcular pressão por temperatura e volumes de CO₂; registrar estabilização.</x:v>
      </x:c>
      <x:c r="G190" s="26" t="str">
        <x:v>MVP 3</x:v>
      </x:c>
      <x:c r="H190" s="26" t="str">
        <x:v>Essencial</x:v>
      </x:c>
      <x:c r="I190" s="26" t="str">
        <x:v>Produção / Qualidade</x:v>
      </x:c>
    </x:row>
    <x:row r="191" ht="30" customHeight="1">
      <x:c r="A191" s="24" t="str">
        <x:v>PKG.04</x:v>
      </x:c>
      <x:c r="B191" s="25" t="str">
        <x:v>Produção</x:v>
      </x:c>
      <x:c r="C191" s="25" t="str">
        <x:v>Envase e Carbonatação</x:v>
      </x:c>
      <x:c r="D191" s="18" t="str">
        <x:v>Carbonatação</x:v>
      </x:c>
      <x:c r="E191" s="18" t="str">
        <x:v>Priming</x:v>
      </x:c>
      <x:c r="F191" s="18" t="str">
        <x:v>Calcular açúcar por volume, temperatura, CO₂ residual e rendimento.</x:v>
      </x:c>
      <x:c r="G191" s="26" t="str">
        <x:v>MVP 3</x:v>
      </x:c>
      <x:c r="H191" s="26" t="str">
        <x:v>Essencial</x:v>
      </x:c>
      <x:c r="I191" s="26" t="str">
        <x:v>Produção / Qualidade</x:v>
      </x:c>
    </x:row>
    <x:row r="192" ht="30" customHeight="1">
      <x:c r="A192" s="24" t="str">
        <x:v>PKG.05</x:v>
      </x:c>
      <x:c r="B192" s="25" t="str">
        <x:v>Produção</x:v>
      </x:c>
      <x:c r="C192" s="25" t="str">
        <x:v>Envase e Carbonatação</x:v>
      </x:c>
      <x:c r="D192" s="18" t="str">
        <x:v>Transferência</x:v>
      </x:c>
      <x:c r="E192" s="18" t="str">
        <x:v>Volume e perdas</x:v>
      </x:c>
      <x:c r="F192" s="18" t="str">
        <x:v>Registrar volume inicial/final, medidor de vazão, espuma e descarte.</x:v>
      </x:c>
      <x:c r="G192" s="26" t="str">
        <x:v>MVP 3</x:v>
      </x:c>
      <x:c r="H192" s="26" t="str">
        <x:v>Essencial</x:v>
      </x:c>
      <x:c r="I192" s="26" t="str">
        <x:v>Produção / Qualidade</x:v>
      </x:c>
    </x:row>
    <x:row r="193" ht="30" customHeight="1">
      <x:c r="A193" s="24" t="str">
        <x:v>PKG.06</x:v>
      </x:c>
      <x:c r="B193" s="25" t="str">
        <x:v>Produção</x:v>
      </x:c>
      <x:c r="C193" s="25" t="str">
        <x:v>Envase e Carbonatação</x:v>
      </x:c>
      <x:c r="D193" s="18" t="str">
        <x:v>Oxigênio</x:v>
      </x:c>
      <x:c r="E193" s="18" t="str">
        <x:v>Controle de purga</x:v>
      </x:c>
      <x:c r="F193" s="18" t="str">
        <x:v>Registrar purga de tanque/embalagem e DO quando houver medição.</x:v>
      </x:c>
      <x:c r="G193" s="26" t="str">
        <x:v>MVP 3</x:v>
      </x:c>
      <x:c r="H193" s="26" t="str">
        <x:v>Essencial</x:v>
      </x:c>
      <x:c r="I193" s="26" t="str">
        <x:v>Produção / Qualidade</x:v>
      </x:c>
    </x:row>
    <x:row r="194" ht="30" customHeight="1">
      <x:c r="A194" s="24" t="str">
        <x:v>PKG.07</x:v>
      </x:c>
      <x:c r="B194" s="25" t="str">
        <x:v>Produção</x:v>
      </x:c>
      <x:c r="C194" s="25" t="str">
        <x:v>Envase e Carbonatação</x:v>
      </x:c>
      <x:c r="D194" s="18" t="str">
        <x:v>Barris</x:v>
      </x:c>
      <x:c r="E194" s="18" t="str">
        <x:v>Enchimento de keg</x:v>
      </x:c>
      <x:c r="F194" s="18" t="str">
        <x:v>Controlar tara, peso/volume, pressão, conector e identificação.</x:v>
      </x:c>
      <x:c r="G194" s="26" t="str">
        <x:v>MVP 3</x:v>
      </x:c>
      <x:c r="H194" s="26" t="str">
        <x:v>Essencial</x:v>
      </x:c>
      <x:c r="I194" s="26" t="str">
        <x:v>Produção / Qualidade</x:v>
      </x:c>
    </x:row>
    <x:row r="195" ht="30" customHeight="1">
      <x:c r="A195" s="24" t="str">
        <x:v>PKG.08</x:v>
      </x:c>
      <x:c r="B195" s="25" t="str">
        <x:v>Produção</x:v>
      </x:c>
      <x:c r="C195" s="25" t="str">
        <x:v>Envase e Carbonatação</x:v>
      </x:c>
      <x:c r="D195" s="18" t="str">
        <x:v>Garrafas/latas</x:v>
      </x:c>
      <x:c r="E195" s="18" t="str">
        <x:v>Unidades produzidas</x:v>
      </x:c>
      <x:c r="F195" s="18" t="str">
        <x:v>Registrar tamanho, quantidade, rejeitos, tampa/lacre e caixa.</x:v>
      </x:c>
      <x:c r="G195" s="26" t="str">
        <x:v>MVP 3</x:v>
      </x:c>
      <x:c r="H195" s="26" t="str">
        <x:v>Essencial</x:v>
      </x:c>
      <x:c r="I195" s="26" t="str">
        <x:v>Produção / Qualidade</x:v>
      </x:c>
    </x:row>
    <x:row r="196" ht="30" customHeight="1">
      <x:c r="A196" s="24" t="str">
        <x:v>PKG.09</x:v>
      </x:c>
      <x:c r="B196" s="25" t="str">
        <x:v>Produção</x:v>
      </x:c>
      <x:c r="C196" s="25" t="str">
        <x:v>Envase e Carbonatação</x:v>
      </x:c>
      <x:c r="D196" s="18" t="str">
        <x:v>Lote</x:v>
      </x:c>
      <x:c r="E196" s="18" t="str">
        <x:v>Código e validade</x:v>
      </x:c>
      <x:c r="F196" s="18" t="str">
        <x:v>Gerar lote de embalagem, data, validade e vínculo ao lote de cerveja.</x:v>
      </x:c>
      <x:c r="G196" s="26" t="str">
        <x:v>MVP 3</x:v>
      </x:c>
      <x:c r="H196" s="26" t="str">
        <x:v>Essencial</x:v>
      </x:c>
      <x:c r="I196" s="26" t="str">
        <x:v>Produção / Qualidade</x:v>
      </x:c>
    </x:row>
    <x:row r="197" ht="30" customHeight="1">
      <x:c r="A197" s="24" t="str">
        <x:v>PKG.10</x:v>
      </x:c>
      <x:c r="B197" s="25" t="str">
        <x:v>Produção</x:v>
      </x:c>
      <x:c r="C197" s="25" t="str">
        <x:v>Envase e Carbonatação</x:v>
      </x:c>
      <x:c r="D197" s="18" t="str">
        <x:v>Rótulo</x:v>
      </x:c>
      <x:c r="E197" s="18" t="str">
        <x:v>Dados variáveis</x:v>
      </x:c>
      <x:c r="F197" s="18" t="str">
        <x:v>Gerar QR code, lote, validade, ingredientes, alergênicos e teor alcoólico.</x:v>
      </x:c>
      <x:c r="G197" s="26" t="str">
        <x:v>MVP 3</x:v>
      </x:c>
      <x:c r="H197" s="26" t="str">
        <x:v>Essencial</x:v>
      </x:c>
      <x:c r="I197" s="26" t="str">
        <x:v>Produção / Qualidade</x:v>
      </x:c>
    </x:row>
    <x:row r="198" ht="30" customHeight="1">
      <x:c r="A198" s="24" t="str">
        <x:v>PKG.11</x:v>
      </x:c>
      <x:c r="B198" s="25" t="str">
        <x:v>Produção</x:v>
      </x:c>
      <x:c r="C198" s="25" t="str">
        <x:v>Envase e Carbonatação</x:v>
      </x:c>
      <x:c r="D198" s="18" t="str">
        <x:v>Amostragem</x:v>
      </x:c>
      <x:c r="E198" s="18" t="str">
        <x:v>Controle pós-envase</x:v>
      </x:c>
      <x:c r="F198" s="18" t="str">
        <x:v>Separar retenção e registrar carbonatação, vazamento e aparência.</x:v>
      </x:c>
      <x:c r="G198" s="26" t="str">
        <x:v>MVP 3</x:v>
      </x:c>
      <x:c r="H198" s="26" t="str">
        <x:v>Essencial</x:v>
      </x:c>
      <x:c r="I198" s="26" t="str">
        <x:v>Produção / Qualidade</x:v>
      </x:c>
    </x:row>
    <x:row r="199" ht="30" customHeight="1">
      <x:c r="A199" s="24" t="str">
        <x:v>PKG.12</x:v>
      </x:c>
      <x:c r="B199" s="25" t="str">
        <x:v>Produção</x:v>
      </x:c>
      <x:c r="C199" s="25" t="str">
        <x:v>Envase e Carbonatação</x:v>
      </x:c>
      <x:c r="D199" s="18" t="str">
        <x:v>Fechamento</x:v>
      </x:c>
      <x:c r="E199" s="18" t="str">
        <x:v>Conciliação</x:v>
      </x:c>
      <x:c r="F199" s="18" t="str">
        <x:v>Conciliar volume envasado, perdas, embalagens consumidas e custo realizado.</x:v>
      </x:c>
      <x:c r="G199" s="26" t="str">
        <x:v>MVP 3</x:v>
      </x:c>
      <x:c r="H199" s="26" t="str">
        <x:v>Essencial</x:v>
      </x:c>
      <x:c r="I199" s="26" t="str">
        <x:v>Produção / Qualidade</x:v>
      </x:c>
    </x:row>
    <x:row r="200" ht="30" customHeight="1">
      <x:c r="A200" s="24" t="str">
        <x:v>STK.01</x:v>
      </x:c>
      <x:c r="B200" s="25" t="str">
        <x:v>Suprimentos</x:v>
      </x:c>
      <x:c r="C200" s="25" t="str">
        <x:v>Estoque e Lotes de Insumos</x:v>
      </x:c>
      <x:c r="D200" s="18" t="str">
        <x:v>Estrutura</x:v>
      </x:c>
      <x:c r="E200" s="18" t="str">
        <x:v>Locais de estoque</x:v>
      </x:c>
      <x:c r="F200" s="18" t="str">
        <x:v>Cadastrar depósito, câmara, freezer, prateleira, tanque e condição.</x:v>
      </x:c>
      <x:c r="G200" s="26" t="str">
        <x:v>MVP 3</x:v>
      </x:c>
      <x:c r="H200" s="26" t="str">
        <x:v>Essencial</x:v>
      </x:c>
      <x:c r="I200" s="26" t="str">
        <x:v>Estoque / Cervejeiro</x:v>
      </x:c>
    </x:row>
    <x:row r="201" ht="30" customHeight="1">
      <x:c r="A201" s="24" t="str">
        <x:v>STK.02</x:v>
      </x:c>
      <x:c r="B201" s="25" t="str">
        <x:v>Suprimentos</x:v>
      </x:c>
      <x:c r="C201" s="25" t="str">
        <x:v>Estoque e Lotes de Insumos</x:v>
      </x:c>
      <x:c r="D201" s="18" t="str">
        <x:v>Recebimento</x:v>
      </x:c>
      <x:c r="E201" s="18" t="str">
        <x:v>Entrada por lote</x:v>
      </x:c>
      <x:c r="F201" s="18" t="str">
        <x:v>Registrar fornecedor, lote, fabricação, validade, quantidade, custo e documento.</x:v>
      </x:c>
      <x:c r="G201" s="26" t="str">
        <x:v>MVP 3</x:v>
      </x:c>
      <x:c r="H201" s="26" t="str">
        <x:v>Essencial</x:v>
      </x:c>
      <x:c r="I201" s="26" t="str">
        <x:v>Estoque / Cervejeiro</x:v>
      </x:c>
    </x:row>
    <x:row r="202" ht="30" customHeight="1">
      <x:c r="A202" s="24" t="str">
        <x:v>STK.03</x:v>
      </x:c>
      <x:c r="B202" s="25" t="str">
        <x:v>Suprimentos</x:v>
      </x:c>
      <x:c r="C202" s="25" t="str">
        <x:v>Estoque e Lotes de Insumos</x:v>
      </x:c>
      <x:c r="D202" s="18" t="str">
        <x:v>Qualidade</x:v>
      </x:c>
      <x:c r="E202" s="18" t="str">
        <x:v>Inspeção de recebimento</x:v>
      </x:c>
      <x:c r="F202" s="18" t="str">
        <x:v>Conferir embalagem, temperatura, laudo, alfa ácido e conformidade.</x:v>
      </x:c>
      <x:c r="G202" s="26" t="str">
        <x:v>MVP 3</x:v>
      </x:c>
      <x:c r="H202" s="26" t="str">
        <x:v>Essencial</x:v>
      </x:c>
      <x:c r="I202" s="26" t="str">
        <x:v>Estoque / Cervejeiro</x:v>
      </x:c>
    </x:row>
    <x:row r="203" ht="30" customHeight="1">
      <x:c r="A203" s="24" t="str">
        <x:v>STK.04</x:v>
      </x:c>
      <x:c r="B203" s="25" t="str">
        <x:v>Suprimentos</x:v>
      </x:c>
      <x:c r="C203" s="25" t="str">
        <x:v>Estoque e Lotes de Insumos</x:v>
      </x:c>
      <x:c r="D203" s="18" t="str">
        <x:v>Saldo</x:v>
      </x:c>
      <x:c r="E203" s="18" t="str">
        <x:v>Consulta por item/lote</x:v>
      </x:c>
      <x:c r="F203" s="18" t="str">
        <x:v>Exibir disponível, reservado, bloqueado, vencido e em trânsito.</x:v>
      </x:c>
      <x:c r="G203" s="26" t="str">
        <x:v>MVP 3</x:v>
      </x:c>
      <x:c r="H203" s="26" t="str">
        <x:v>Essencial</x:v>
      </x:c>
      <x:c r="I203" s="26" t="str">
        <x:v>Estoque / Cervejeiro</x:v>
      </x:c>
    </x:row>
    <x:row r="204" ht="30" customHeight="1">
      <x:c r="A204" s="24" t="str">
        <x:v>STK.05</x:v>
      </x:c>
      <x:c r="B204" s="25" t="str">
        <x:v>Suprimentos</x:v>
      </x:c>
      <x:c r="C204" s="25" t="str">
        <x:v>Estoque e Lotes de Insumos</x:v>
      </x:c>
      <x:c r="D204" s="18" t="str">
        <x:v>Movimentos</x:v>
      </x:c>
      <x:c r="E204" s="18" t="str">
        <x:v>Livro imutável</x:v>
      </x:c>
      <x:c r="F204" s="18" t="str">
        <x:v>Entrada, reserva, consumo, devolução, transferência, ajuste, perda e descarte.</x:v>
      </x:c>
      <x:c r="G204" s="26" t="str">
        <x:v>MVP 3</x:v>
      </x:c>
      <x:c r="H204" s="26" t="str">
        <x:v>Essencial</x:v>
      </x:c>
      <x:c r="I204" s="26" t="str">
        <x:v>Estoque / Cervejeiro</x:v>
      </x:c>
    </x:row>
    <x:row r="205" ht="30" customHeight="1">
      <x:c r="A205" s="24" t="str">
        <x:v>STK.06</x:v>
      </x:c>
      <x:c r="B205" s="25" t="str">
        <x:v>Suprimentos</x:v>
      </x:c>
      <x:c r="C205" s="25" t="str">
        <x:v>Estoque e Lotes de Insumos</x:v>
      </x:c>
      <x:c r="D205" s="18" t="str">
        <x:v>Reservas</x:v>
      </x:c>
      <x:c r="E205" s="18" t="str">
        <x:v>Vínculo à OP</x:v>
      </x:c>
      <x:c r="F205" s="18" t="str">
        <x:v>Reservar quantidade e lote para produção liberada.</x:v>
      </x:c>
      <x:c r="G205" s="26" t="str">
        <x:v>MVP 3</x:v>
      </x:c>
      <x:c r="H205" s="26" t="str">
        <x:v>Essencial</x:v>
      </x:c>
      <x:c r="I205" s="26" t="str">
        <x:v>Estoque / Cervejeiro</x:v>
      </x:c>
    </x:row>
    <x:row r="206" ht="30" customHeight="1">
      <x:c r="A206" s="24" t="str">
        <x:v>STK.07</x:v>
      </x:c>
      <x:c r="B206" s="25" t="str">
        <x:v>Suprimentos</x:v>
      </x:c>
      <x:c r="C206" s="25" t="str">
        <x:v>Estoque e Lotes de Insumos</x:v>
      </x:c>
      <x:c r="D206" s="18" t="str">
        <x:v>Separação</x:v>
      </x:c>
      <x:c r="E206" s="18" t="str">
        <x:v>Picking FEFO</x:v>
      </x:c>
      <x:c r="F206" s="18" t="str">
        <x:v>Sugerir lote com vencimento mais próximo respeitando bloqueios.</x:v>
      </x:c>
      <x:c r="G206" s="26" t="str">
        <x:v>MVP 3</x:v>
      </x:c>
      <x:c r="H206" s="26" t="str">
        <x:v>Essencial</x:v>
      </x:c>
      <x:c r="I206" s="26" t="str">
        <x:v>Estoque / Cervejeiro</x:v>
      </x:c>
    </x:row>
    <x:row r="207" ht="30" customHeight="1">
      <x:c r="A207" s="24" t="str">
        <x:v>STK.08</x:v>
      </x:c>
      <x:c r="B207" s="25" t="str">
        <x:v>Suprimentos</x:v>
      </x:c>
      <x:c r="C207" s="25" t="str">
        <x:v>Estoque e Lotes de Insumos</x:v>
      </x:c>
      <x:c r="D207" s="18" t="str">
        <x:v>Consumo</x:v>
      </x:c>
      <x:c r="E207" s="18" t="str">
        <x:v>Baixa planejada e real</x:v>
      </x:c>
      <x:c r="F207" s="18" t="str">
        <x:v>Consumir por etapa e registrar diferença em relação à receita.</x:v>
      </x:c>
      <x:c r="G207" s="26" t="str">
        <x:v>MVP 3</x:v>
      </x:c>
      <x:c r="H207" s="26" t="str">
        <x:v>Essencial</x:v>
      </x:c>
      <x:c r="I207" s="26" t="str">
        <x:v>Estoque / Cervejeiro</x:v>
      </x:c>
    </x:row>
    <x:row r="208" ht="30" customHeight="1">
      <x:c r="A208" s="24" t="str">
        <x:v>STK.09</x:v>
      </x:c>
      <x:c r="B208" s="25" t="str">
        <x:v>Suprimentos</x:v>
      </x:c>
      <x:c r="C208" s="25" t="str">
        <x:v>Estoque e Lotes de Insumos</x:v>
      </x:c>
      <x:c r="D208" s="18" t="str">
        <x:v>Conversões</x:v>
      </x:c>
      <x:c r="E208" s="18" t="str">
        <x:v>Unidades de compra/uso</x:v>
      </x:c>
      <x:c r="F208" s="18" t="str">
        <x:v>Converter saco, kg, g, pacote, unidade, litro e mL por regra cadastrada.</x:v>
      </x:c>
      <x:c r="G208" s="26" t="str">
        <x:v>MVP 3</x:v>
      </x:c>
      <x:c r="H208" s="26" t="str">
        <x:v>Essencial</x:v>
      </x:c>
      <x:c r="I208" s="26" t="str">
        <x:v>Estoque / Cervejeiro</x:v>
      </x:c>
    </x:row>
    <x:row r="209" ht="30" customHeight="1">
      <x:c r="A209" s="24" t="str">
        <x:v>STK.10</x:v>
      </x:c>
      <x:c r="B209" s="25" t="str">
        <x:v>Suprimentos</x:v>
      </x:c>
      <x:c r="C209" s="25" t="str">
        <x:v>Estoque e Lotes de Insumos</x:v>
      </x:c>
      <x:c r="D209" s="18" t="str">
        <x:v>Inventário</x:v>
      </x:c>
      <x:c r="E209" s="18" t="str">
        <x:v>Contagem física</x:v>
      </x:c>
      <x:c r="F209" s="18" t="str">
        <x:v>Criar sessão de contagem, divergência, aprovação e ajuste rastreado.</x:v>
      </x:c>
      <x:c r="G209" s="26" t="str">
        <x:v>MVP 3</x:v>
      </x:c>
      <x:c r="H209" s="26" t="str">
        <x:v>Essencial</x:v>
      </x:c>
      <x:c r="I209" s="26" t="str">
        <x:v>Estoque / Cervejeiro</x:v>
      </x:c>
    </x:row>
    <x:row r="210" ht="30" customHeight="1">
      <x:c r="A210" s="24" t="str">
        <x:v>STK.11</x:v>
      </x:c>
      <x:c r="B210" s="25" t="str">
        <x:v>Suprimentos</x:v>
      </x:c>
      <x:c r="C210" s="25" t="str">
        <x:v>Estoque e Lotes de Insumos</x:v>
      </x:c>
      <x:c r="D210" s="18" t="str">
        <x:v>Transferência</x:v>
      </x:c>
      <x:c r="E210" s="18" t="str">
        <x:v>Entre locais</x:v>
      </x:c>
      <x:c r="F210" s="18" t="str">
        <x:v>Movimentar lote preservando quantidade, custo e rastreabilidade.</x:v>
      </x:c>
      <x:c r="G210" s="26" t="str">
        <x:v>MVP 3</x:v>
      </x:c>
      <x:c r="H210" s="26" t="str">
        <x:v>Essencial</x:v>
      </x:c>
      <x:c r="I210" s="26" t="str">
        <x:v>Estoque / Cervejeiro</x:v>
      </x:c>
    </x:row>
    <x:row r="211" ht="30" customHeight="1">
      <x:c r="A211" s="24" t="str">
        <x:v>STK.12</x:v>
      </x:c>
      <x:c r="B211" s="25" t="str">
        <x:v>Suprimentos</x:v>
      </x:c>
      <x:c r="C211" s="25" t="str">
        <x:v>Estoque e Lotes de Insumos</x:v>
      </x:c>
      <x:c r="D211" s="18" t="str">
        <x:v>Perdas</x:v>
      </x:c>
      <x:c r="E211" s="18" t="str">
        <x:v>Quebra e descarte</x:v>
      </x:c>
      <x:c r="F211" s="18" t="str">
        <x:v>Classificar motivo, quantidade, valor, responsável e evidência.</x:v>
      </x:c>
      <x:c r="G211" s="26" t="str">
        <x:v>MVP 3</x:v>
      </x:c>
      <x:c r="H211" s="26" t="str">
        <x:v>Essencial</x:v>
      </x:c>
      <x:c r="I211" s="26" t="str">
        <x:v>Estoque / Cervejeiro</x:v>
      </x:c>
    </x:row>
    <x:row r="212" ht="30" customHeight="1">
      <x:c r="A212" s="24" t="str">
        <x:v>STK.13</x:v>
      </x:c>
      <x:c r="B212" s="25" t="str">
        <x:v>Suprimentos</x:v>
      </x:c>
      <x:c r="C212" s="25" t="str">
        <x:v>Estoque e Lotes de Insumos</x:v>
      </x:c>
      <x:c r="D212" s="18" t="str">
        <x:v>Vencimento</x:v>
      </x:c>
      <x:c r="E212" s="18" t="str">
        <x:v>Bloqueio e liberação</x:v>
      </x:c>
      <x:c r="F212" s="18" t="str">
        <x:v>Impedir consumo vencido por padrão e permitir exceção autorizada.</x:v>
      </x:c>
      <x:c r="G212" s="26" t="str">
        <x:v>MVP 3</x:v>
      </x:c>
      <x:c r="H212" s="26" t="str">
        <x:v>Essencial</x:v>
      </x:c>
      <x:c r="I212" s="26" t="str">
        <x:v>Estoque / Cervejeiro</x:v>
      </x:c>
    </x:row>
    <x:row r="213" ht="30" customHeight="1">
      <x:c r="A213" s="24" t="str">
        <x:v>STK.14</x:v>
      </x:c>
      <x:c r="B213" s="25" t="str">
        <x:v>Suprimentos</x:v>
      </x:c>
      <x:c r="C213" s="25" t="str">
        <x:v>Estoque e Lotes de Insumos</x:v>
      </x:c>
      <x:c r="D213" s="18" t="str">
        <x:v>Estoque mínimo</x:v>
      </x:c>
      <x:c r="E213" s="18" t="str">
        <x:v>Ponto de reposição</x:v>
      </x:c>
      <x:c r="F213" s="18" t="str">
        <x:v>Definir mínimo, segurança, múltiplo de compra e lead time.</x:v>
      </x:c>
      <x:c r="G213" s="26" t="str">
        <x:v>MVP 3</x:v>
      </x:c>
      <x:c r="H213" s="26" t="str">
        <x:v>Essencial</x:v>
      </x:c>
      <x:c r="I213" s="26" t="str">
        <x:v>Estoque / Cervejeiro</x:v>
      </x:c>
    </x:row>
    <x:row r="214" ht="30" customHeight="1">
      <x:c r="A214" s="24" t="str">
        <x:v>STK.15</x:v>
      </x:c>
      <x:c r="B214" s="25" t="str">
        <x:v>Suprimentos</x:v>
      </x:c>
      <x:c r="C214" s="25" t="str">
        <x:v>Estoque e Lotes de Insumos</x:v>
      </x:c>
      <x:c r="D214" s="18" t="str">
        <x:v>Rastreio</x:v>
      </x:c>
      <x:c r="E214" s="18" t="str">
        <x:v>Genealogia do lote</x:v>
      </x:c>
      <x:c r="F214" s="18" t="str">
        <x:v>Consultar fornecedor → insumo → OP → lote de cerveja → embalagem.</x:v>
      </x:c>
      <x:c r="G214" s="26" t="str">
        <x:v>MVP 3</x:v>
      </x:c>
      <x:c r="H214" s="26" t="str">
        <x:v>Essencial</x:v>
      </x:c>
      <x:c r="I214" s="26" t="str">
        <x:v>Estoque / Cervejeiro</x:v>
      </x:c>
    </x:row>
    <x:row r="215" ht="30" customHeight="1">
      <x:c r="A215" s="24" t="str">
        <x:v>PUR.01</x:v>
      </x:c>
      <x:c r="B215" s="25" t="str">
        <x:v>Suprimentos</x:v>
      </x:c>
      <x:c r="C215" s="25" t="str">
        <x:v>Compras e Fornecedores</x:v>
      </x:c>
      <x:c r="D215" s="18" t="str">
        <x:v>Fornecedores</x:v>
      </x:c>
      <x:c r="E215" s="18" t="str">
        <x:v>Cadastro e contatos</x:v>
      </x:c>
      <x:c r="F215" s="18" t="str">
        <x:v>Dados fiscais, contatos, categorias, condições e documentos.</x:v>
      </x:c>
      <x:c r="G215" s="26" t="str">
        <x:v>Evolução</x:v>
      </x:c>
      <x:c r="H215" s="26" t="str">
        <x:v>Importante</x:v>
      </x:c>
      <x:c r="I215" s="26" t="str">
        <x:v>Compras / Estoque</x:v>
      </x:c>
    </x:row>
    <x:row r="216" ht="30" customHeight="1">
      <x:c r="A216" s="24" t="str">
        <x:v>PUR.02</x:v>
      </x:c>
      <x:c r="B216" s="25" t="str">
        <x:v>Suprimentos</x:v>
      </x:c>
      <x:c r="C216" s="25" t="str">
        <x:v>Compras e Fornecedores</x:v>
      </x:c>
      <x:c r="D216" s="18" t="str">
        <x:v>Fornecedores</x:v>
      </x:c>
      <x:c r="E216" s="18" t="str">
        <x:v>Avaliação</x:v>
      </x:c>
      <x:c r="F216" s="18" t="str">
        <x:v>Prazo, qualidade, divergência, atendimento, preço e nota histórica.</x:v>
      </x:c>
      <x:c r="G216" s="26" t="str">
        <x:v>Evolução</x:v>
      </x:c>
      <x:c r="H216" s="26" t="str">
        <x:v>Importante</x:v>
      </x:c>
      <x:c r="I216" s="26" t="str">
        <x:v>Compras / Estoque</x:v>
      </x:c>
    </x:row>
    <x:row r="217" ht="30" customHeight="1">
      <x:c r="A217" s="24" t="str">
        <x:v>PUR.03</x:v>
      </x:c>
      <x:c r="B217" s="25" t="str">
        <x:v>Suprimentos</x:v>
      </x:c>
      <x:c r="C217" s="25" t="str">
        <x:v>Compras e Fornecedores</x:v>
      </x:c>
      <x:c r="D217" s="18" t="str">
        <x:v>Cotações</x:v>
      </x:c>
      <x:c r="E217" s="18" t="str">
        <x:v>Solicitar e comparar</x:v>
      </x:c>
      <x:c r="F217" s="18" t="str">
        <x:v>Comparar preço, frete, impostos, prazo, validade e lote ofertado.</x:v>
      </x:c>
      <x:c r="G217" s="26" t="str">
        <x:v>Evolução</x:v>
      </x:c>
      <x:c r="H217" s="26" t="str">
        <x:v>Importante</x:v>
      </x:c>
      <x:c r="I217" s="26" t="str">
        <x:v>Compras / Estoque</x:v>
      </x:c>
    </x:row>
    <x:row r="218" ht="30" customHeight="1">
      <x:c r="A218" s="24" t="str">
        <x:v>PUR.04</x:v>
      </x:c>
      <x:c r="B218" s="25" t="str">
        <x:v>Suprimentos</x:v>
      </x:c>
      <x:c r="C218" s="25" t="str">
        <x:v>Compras e Fornecedores</x:v>
      </x:c>
      <x:c r="D218" s="18" t="str">
        <x:v>Pedidos</x:v>
      </x:c>
      <x:c r="E218" s="18" t="str">
        <x:v>Criar pedido de compra</x:v>
      </x:c>
      <x:c r="F218" s="18" t="str">
        <x:v>Gerar a partir de necessidade, estoque mínimo ou planejamento.</x:v>
      </x:c>
      <x:c r="G218" s="26" t="str">
        <x:v>Evolução</x:v>
      </x:c>
      <x:c r="H218" s="26" t="str">
        <x:v>Importante</x:v>
      </x:c>
      <x:c r="I218" s="26" t="str">
        <x:v>Compras / Estoque</x:v>
      </x:c>
    </x:row>
    <x:row r="219" ht="30" customHeight="1">
      <x:c r="A219" s="24" t="str">
        <x:v>PUR.05</x:v>
      </x:c>
      <x:c r="B219" s="25" t="str">
        <x:v>Suprimentos</x:v>
      </x:c>
      <x:c r="C219" s="25" t="str">
        <x:v>Compras e Fornecedores</x:v>
      </x:c>
      <x:c r="D219" s="18" t="str">
        <x:v>Aprovação</x:v>
      </x:c>
      <x:c r="E219" s="18" t="str">
        <x:v>Alçada de compra</x:v>
      </x:c>
      <x:c r="F219" s="18" t="str">
        <x:v>Aplicar limite por valor, categoria e usuário.</x:v>
      </x:c>
      <x:c r="G219" s="26" t="str">
        <x:v>Evolução</x:v>
      </x:c>
      <x:c r="H219" s="26" t="str">
        <x:v>Importante</x:v>
      </x:c>
      <x:c r="I219" s="26" t="str">
        <x:v>Compras / Estoque</x:v>
      </x:c>
    </x:row>
    <x:row r="220" ht="30" customHeight="1">
      <x:c r="A220" s="24" t="str">
        <x:v>PUR.06</x:v>
      </x:c>
      <x:c r="B220" s="25" t="str">
        <x:v>Suprimentos</x:v>
      </x:c>
      <x:c r="C220" s="25" t="str">
        <x:v>Compras e Fornecedores</x:v>
      </x:c>
      <x:c r="D220" s="18" t="str">
        <x:v>Acompanhamento</x:v>
      </x:c>
      <x:c r="E220" s="18" t="str">
        <x:v>Status do pedido</x:v>
      </x:c>
      <x:c r="F220" s="18" t="str">
        <x:v>Rascunho, aprovado, enviado, parcial, recebido, cancelado e devolvido.</x:v>
      </x:c>
      <x:c r="G220" s="26" t="str">
        <x:v>Evolução</x:v>
      </x:c>
      <x:c r="H220" s="26" t="str">
        <x:v>Importante</x:v>
      </x:c>
      <x:c r="I220" s="26" t="str">
        <x:v>Compras / Estoque</x:v>
      </x:c>
    </x:row>
    <x:row r="221" ht="30" customHeight="1">
      <x:c r="A221" s="24" t="str">
        <x:v>PUR.07</x:v>
      </x:c>
      <x:c r="B221" s="25" t="str">
        <x:v>Suprimentos</x:v>
      </x:c>
      <x:c r="C221" s="25" t="str">
        <x:v>Compras e Fornecedores</x:v>
      </x:c>
      <x:c r="D221" s="18" t="str">
        <x:v>Recebimento</x:v>
      </x:c>
      <x:c r="E221" s="18" t="str">
        <x:v>Conciliação</x:v>
      </x:c>
      <x:c r="F221" s="18" t="str">
        <x:v>Conferir pedido, documento, quantidade, custo, lote e inspeção.</x:v>
      </x:c>
      <x:c r="G221" s="26" t="str">
        <x:v>Evolução</x:v>
      </x:c>
      <x:c r="H221" s="26" t="str">
        <x:v>Importante</x:v>
      </x:c>
      <x:c r="I221" s="26" t="str">
        <x:v>Compras / Estoque</x:v>
      </x:c>
    </x:row>
    <x:row r="222" ht="30" customHeight="1">
      <x:c r="A222" s="24" t="str">
        <x:v>PUR.08</x:v>
      </x:c>
      <x:c r="B222" s="25" t="str">
        <x:v>Suprimentos</x:v>
      </x:c>
      <x:c r="C222" s="25" t="str">
        <x:v>Compras e Fornecedores</x:v>
      </x:c>
      <x:c r="D222" s="18" t="str">
        <x:v>Preço</x:v>
      </x:c>
      <x:c r="E222" s="18" t="str">
        <x:v>Histórico de custos</x:v>
      </x:c>
      <x:c r="F222" s="18" t="str">
        <x:v>Exibir evolução por item, fornecedor, safra e período.</x:v>
      </x:c>
      <x:c r="G222" s="26" t="str">
        <x:v>Evolução</x:v>
      </x:c>
      <x:c r="H222" s="26" t="str">
        <x:v>Importante</x:v>
      </x:c>
      <x:c r="I222" s="26" t="str">
        <x:v>Compras / Estoque</x:v>
      </x:c>
    </x:row>
    <x:row r="223" ht="30" customHeight="1">
      <x:c r="A223" s="24" t="str">
        <x:v>PUR.09</x:v>
      </x:c>
      <x:c r="B223" s="25" t="str">
        <x:v>Suprimentos</x:v>
      </x:c>
      <x:c r="C223" s="25" t="str">
        <x:v>Compras e Fornecedores</x:v>
      </x:c>
      <x:c r="D223" s="18" t="str">
        <x:v>Previsão</x:v>
      </x:c>
      <x:c r="E223" s="18" t="str">
        <x:v>Necessidade futura</x:v>
      </x:c>
      <x:c r="F223" s="18" t="str">
        <x:v>Cruzar plano de produção, saldo, reservas e lead time.</x:v>
      </x:c>
      <x:c r="G223" s="26" t="str">
        <x:v>Evolução</x:v>
      </x:c>
      <x:c r="H223" s="26" t="str">
        <x:v>Importante</x:v>
      </x:c>
      <x:c r="I223" s="26" t="str">
        <x:v>Compras / Estoque</x:v>
      </x:c>
    </x:row>
    <x:row r="224" ht="30" customHeight="1">
      <x:c r="A224" s="24" t="str">
        <x:v>PUR.10</x:v>
      </x:c>
      <x:c r="B224" s="25" t="str">
        <x:v>Suprimentos</x:v>
      </x:c>
      <x:c r="C224" s="25" t="str">
        <x:v>Compras e Fornecedores</x:v>
      </x:c>
      <x:c r="D224" s="18" t="str">
        <x:v>Documentos</x:v>
      </x:c>
      <x:c r="E224" s="18" t="str">
        <x:v>Anexos</x:v>
      </x:c>
      <x:c r="F224" s="18" t="str">
        <x:v>Guardar cotação, pedido, nota, laudo e comprovante.</x:v>
      </x:c>
      <x:c r="G224" s="26" t="str">
        <x:v>Evolução</x:v>
      </x:c>
      <x:c r="H224" s="26" t="str">
        <x:v>Importante</x:v>
      </x:c>
      <x:c r="I224" s="26" t="str">
        <x:v>Compras / Estoque</x:v>
      </x:c>
    </x:row>
    <x:row r="225" ht="30" customHeight="1">
      <x:c r="A225" s="24" t="str">
        <x:v>QLT.01</x:v>
      </x:c>
      <x:c r="B225" s="25" t="str">
        <x:v>Qualidade</x:v>
      </x:c>
      <x:c r="C225" s="25" t="str">
        <x:v>Qualidade e Laboratório</x:v>
      </x:c>
      <x:c r="D225" s="18" t="str">
        <x:v>Plano</x:v>
      </x:c>
      <x:c r="E225" s="18" t="str">
        <x:v>Pontos de controle</x:v>
      </x:c>
      <x:c r="F225" s="18" t="str">
        <x:v>Definir etapa, parâmetro, método, faixa, frequência e ação esperada.</x:v>
      </x:c>
      <x:c r="G225" s="26" t="str">
        <x:v>Evolução</x:v>
      </x:c>
      <x:c r="H225" s="26" t="str">
        <x:v>Importante</x:v>
      </x:c>
      <x:c r="I225" s="26" t="str">
        <x:v>Qualidade / Cervejeiro</x:v>
      </x:c>
    </x:row>
    <x:row r="226" ht="30" customHeight="1">
      <x:c r="A226" s="24" t="str">
        <x:v>QLT.02</x:v>
      </x:c>
      <x:c r="B226" s="25" t="str">
        <x:v>Qualidade</x:v>
      </x:c>
      <x:c r="C226" s="25" t="str">
        <x:v>Qualidade e Laboratório</x:v>
      </x:c>
      <x:c r="D226" s="18" t="str">
        <x:v>Medições</x:v>
      </x:c>
      <x:c r="E226" s="18" t="str">
        <x:v>Registro padronizado</x:v>
      </x:c>
      <x:c r="F226" s="18" t="str">
        <x:v>Valor, unidade, temperatura, instante, instrumento, operador e amostra.</x:v>
      </x:c>
      <x:c r="G226" s="26" t="str">
        <x:v>Evolução</x:v>
      </x:c>
      <x:c r="H226" s="26" t="str">
        <x:v>Importante</x:v>
      </x:c>
      <x:c r="I226" s="26" t="str">
        <x:v>Qualidade / Cervejeiro</x:v>
      </x:c>
    </x:row>
    <x:row r="227" ht="30" customHeight="1">
      <x:c r="A227" s="24" t="str">
        <x:v>QLT.03</x:v>
      </x:c>
      <x:c r="B227" s="25" t="str">
        <x:v>Qualidade</x:v>
      </x:c>
      <x:c r="C227" s="25" t="str">
        <x:v>Qualidade e Laboratório</x:v>
      </x:c>
      <x:c r="D227" s="18" t="str">
        <x:v>Instrumentos</x:v>
      </x:c>
      <x:c r="E227" s="18" t="str">
        <x:v>Calibração e verificação</x:v>
      </x:c>
      <x:c r="F227" s="18" t="str">
        <x:v>Bloquear ou alertar uso com calibração vencida.</x:v>
      </x:c>
      <x:c r="G227" s="26" t="str">
        <x:v>Evolução</x:v>
      </x:c>
      <x:c r="H227" s="26" t="str">
        <x:v>Importante</x:v>
      </x:c>
      <x:c r="I227" s="26" t="str">
        <x:v>Qualidade / Cervejeiro</x:v>
      </x:c>
    </x:row>
    <x:row r="228" ht="30" customHeight="1">
      <x:c r="A228" s="24" t="str">
        <x:v>QLT.04</x:v>
      </x:c>
      <x:c r="B228" s="25" t="str">
        <x:v>Qualidade</x:v>
      </x:c>
      <x:c r="C228" s="25" t="str">
        <x:v>Qualidade e Laboratório</x:v>
      </x:c>
      <x:c r="D228" s="18" t="str">
        <x:v>Amostras</x:v>
      </x:c>
      <x:c r="E228" s="18" t="str">
        <x:v>Identificação</x:v>
      </x:c>
      <x:c r="F228" s="18" t="str">
        <x:v>Gerar código, origem, coleta, volume, conservação, destino e descarte.</x:v>
      </x:c>
      <x:c r="G228" s="26" t="str">
        <x:v>Evolução</x:v>
      </x:c>
      <x:c r="H228" s="26" t="str">
        <x:v>Importante</x:v>
      </x:c>
      <x:c r="I228" s="26" t="str">
        <x:v>Qualidade / Cervejeiro</x:v>
      </x:c>
    </x:row>
    <x:row r="229" ht="30" customHeight="1">
      <x:c r="A229" s="24" t="str">
        <x:v>QLT.05</x:v>
      </x:c>
      <x:c r="B229" s="25" t="str">
        <x:v>Qualidade</x:v>
      </x:c>
      <x:c r="C229" s="25" t="str">
        <x:v>Qualidade e Laboratório</x:v>
      </x:c>
      <x:c r="D229" s="18" t="str">
        <x:v>Água</x:v>
      </x:c>
      <x:c r="E229" s="18" t="str">
        <x:v>Controle de recebimento</x:v>
      </x:c>
      <x:c r="F229" s="18" t="str">
        <x:v>pH, EC/TDS, cloro, alcalinidade e comparação com laudo.</x:v>
      </x:c>
      <x:c r="G229" s="26" t="str">
        <x:v>Evolução</x:v>
      </x:c>
      <x:c r="H229" s="26" t="str">
        <x:v>Importante</x:v>
      </x:c>
      <x:c r="I229" s="26" t="str">
        <x:v>Qualidade / Cervejeiro</x:v>
      </x:c>
    </x:row>
    <x:row r="230" ht="30" customHeight="1">
      <x:c r="A230" s="24" t="str">
        <x:v>QLT.06</x:v>
      </x:c>
      <x:c r="B230" s="25" t="str">
        <x:v>Qualidade</x:v>
      </x:c>
      <x:c r="C230" s="25" t="str">
        <x:v>Qualidade e Laboratório</x:v>
      </x:c>
      <x:c r="D230" s="18" t="str">
        <x:v>Mosto</x:v>
      </x:c>
      <x:c r="E230" s="18" t="str">
        <x:v>Painel de processo</x:v>
      </x:c>
      <x:c r="F230" s="18" t="str">
        <x:v>Brix/SG, pH, FAN quando disponível, cor e turbidez.</x:v>
      </x:c>
      <x:c r="G230" s="26" t="str">
        <x:v>Evolução</x:v>
      </x:c>
      <x:c r="H230" s="26" t="str">
        <x:v>Importante</x:v>
      </x:c>
      <x:c r="I230" s="26" t="str">
        <x:v>Qualidade / Cervejeiro</x:v>
      </x:c>
    </x:row>
    <x:row r="231" ht="30" customHeight="1">
      <x:c r="A231" s="24" t="str">
        <x:v>QLT.07</x:v>
      </x:c>
      <x:c r="B231" s="25" t="str">
        <x:v>Qualidade</x:v>
      </x:c>
      <x:c r="C231" s="25" t="str">
        <x:v>Qualidade e Laboratório</x:v>
      </x:c>
      <x:c r="D231" s="18" t="str">
        <x:v>Fermentação</x:v>
      </x:c>
      <x:c r="E231" s="18" t="str">
        <x:v>Painel de acompanhamento</x:v>
      </x:c>
      <x:c r="F231" s="18" t="str">
        <x:v>Densidade, pH, temperatura, viabilidade, contagem e contaminação.</x:v>
      </x:c>
      <x:c r="G231" s="26" t="str">
        <x:v>Evolução</x:v>
      </x:c>
      <x:c r="H231" s="26" t="str">
        <x:v>Importante</x:v>
      </x:c>
      <x:c r="I231" s="26" t="str">
        <x:v>Qualidade / Cervejeiro</x:v>
      </x:c>
    </x:row>
    <x:row r="232" ht="30" customHeight="1">
      <x:c r="A232" s="24" t="str">
        <x:v>QLT.08</x:v>
      </x:c>
      <x:c r="B232" s="25" t="str">
        <x:v>Qualidade</x:v>
      </x:c>
      <x:c r="C232" s="25" t="str">
        <x:v>Qualidade e Laboratório</x:v>
      </x:c>
      <x:c r="D232" s="18" t="str">
        <x:v>Cerveja</x:v>
      </x:c>
      <x:c r="E232" s="18" t="str">
        <x:v>Produto em processo</x:v>
      </x:c>
      <x:c r="F232" s="18" t="str">
        <x:v>ABV, IBU, cor, carbonatação, turbidez, DO e estabilidade.</x:v>
      </x:c>
      <x:c r="G232" s="26" t="str">
        <x:v>Evolução</x:v>
      </x:c>
      <x:c r="H232" s="26" t="str">
        <x:v>Importante</x:v>
      </x:c>
      <x:c r="I232" s="26" t="str">
        <x:v>Qualidade / Cervejeiro</x:v>
      </x:c>
    </x:row>
    <x:row r="233" ht="30" customHeight="1">
      <x:c r="A233" s="24" t="str">
        <x:v>QLT.09</x:v>
      </x:c>
      <x:c r="B233" s="25" t="str">
        <x:v>Qualidade</x:v>
      </x:c>
      <x:c r="C233" s="25" t="str">
        <x:v>Qualidade e Laboratório</x:v>
      </x:c>
      <x:c r="D233" s="18" t="str">
        <x:v>Embalagem</x:v>
      </x:c>
      <x:c r="E233" s="18" t="str">
        <x:v>Controle final</x:v>
      </x:c>
      <x:c r="F233" s="18" t="str">
        <x:v>Volume, vazamento, fechamento, pressão, carbonatação e rotulagem.</x:v>
      </x:c>
      <x:c r="G233" s="26" t="str">
        <x:v>Evolução</x:v>
      </x:c>
      <x:c r="H233" s="26" t="str">
        <x:v>Importante</x:v>
      </x:c>
      <x:c r="I233" s="26" t="str">
        <x:v>Qualidade / Cervejeiro</x:v>
      </x:c>
    </x:row>
    <x:row r="234" ht="30" customHeight="1">
      <x:c r="A234" s="24" t="str">
        <x:v>QLT.10</x:v>
      </x:c>
      <x:c r="B234" s="25" t="str">
        <x:v>Qualidade</x:v>
      </x:c>
      <x:c r="C234" s="25" t="str">
        <x:v>Qualidade e Laboratório</x:v>
      </x:c>
      <x:c r="D234" s="18" t="str">
        <x:v>Especificações</x:v>
      </x:c>
      <x:c r="E234" s="18" t="str">
        <x:v>Faixas por produto</x:v>
      </x:c>
      <x:c r="F234" s="18" t="str">
        <x:v>Definir limites de alerta, ação e reprovação por receita.</x:v>
      </x:c>
      <x:c r="G234" s="26" t="str">
        <x:v>Evolução</x:v>
      </x:c>
      <x:c r="H234" s="26" t="str">
        <x:v>Importante</x:v>
      </x:c>
      <x:c r="I234" s="26" t="str">
        <x:v>Qualidade / Cervejeiro</x:v>
      </x:c>
    </x:row>
    <x:row r="235" ht="30" customHeight="1">
      <x:c r="A235" s="24" t="str">
        <x:v>QLT.11</x:v>
      </x:c>
      <x:c r="B235" s="25" t="str">
        <x:v>Qualidade</x:v>
      </x:c>
      <x:c r="C235" s="25" t="str">
        <x:v>Qualidade e Laboratório</x:v>
      </x:c>
      <x:c r="D235" s="18" t="str">
        <x:v>Desvios</x:v>
      </x:c>
      <x:c r="E235" s="18" t="str">
        <x:v>Não conformidade</x:v>
      </x:c>
      <x:c r="F235" s="18" t="str">
        <x:v>Registrar origem, severidade, contenção, causa, ação e verificação.</x:v>
      </x:c>
      <x:c r="G235" s="26" t="str">
        <x:v>Evolução</x:v>
      </x:c>
      <x:c r="H235" s="26" t="str">
        <x:v>Importante</x:v>
      </x:c>
      <x:c r="I235" s="26" t="str">
        <x:v>Qualidade / Cervejeiro</x:v>
      </x:c>
    </x:row>
    <x:row r="236" ht="30" customHeight="1">
      <x:c r="A236" s="24" t="str">
        <x:v>QLT.12</x:v>
      </x:c>
      <x:c r="B236" s="25" t="str">
        <x:v>Qualidade</x:v>
      </x:c>
      <x:c r="C236" s="25" t="str">
        <x:v>Qualidade e Laboratório</x:v>
      </x:c>
      <x:c r="D236" s="18" t="str">
        <x:v>Liberação</x:v>
      </x:c>
      <x:c r="E236" s="18" t="str">
        <x:v>Aprovar etapa/lote</x:v>
      </x:c>
      <x:c r="F236" s="18" t="str">
        <x:v>Exigir controles concluídos antes de transferir, envasar ou encerrar.</x:v>
      </x:c>
      <x:c r="G236" s="26" t="str">
        <x:v>Evolução</x:v>
      </x:c>
      <x:c r="H236" s="26" t="str">
        <x:v>Importante</x:v>
      </x:c>
      <x:c r="I236" s="26" t="str">
        <x:v>Qualidade / Cervejeiro</x:v>
      </x:c>
    </x:row>
    <x:row r="237" ht="30" customHeight="1">
      <x:c r="A237" s="24" t="str">
        <x:v>QLT.13</x:v>
      </x:c>
      <x:c r="B237" s="25" t="str">
        <x:v>Qualidade</x:v>
      </x:c>
      <x:c r="C237" s="25" t="str">
        <x:v>Qualidade e Laboratório</x:v>
      </x:c>
      <x:c r="D237" s="18" t="str">
        <x:v>Retenção</x:v>
      </x:c>
      <x:c r="E237" s="18" t="str">
        <x:v>Amostra testemunha</x:v>
      </x:c>
      <x:c r="F237" s="18" t="str">
        <x:v>Controlar quantidade, local, validade e descarte.</x:v>
      </x:c>
      <x:c r="G237" s="26" t="str">
        <x:v>Evolução</x:v>
      </x:c>
      <x:c r="H237" s="26" t="str">
        <x:v>Importante</x:v>
      </x:c>
      <x:c r="I237" s="26" t="str">
        <x:v>Qualidade / Cervejeiro</x:v>
      </x:c>
    </x:row>
    <x:row r="238" ht="30" customHeight="1">
      <x:c r="A238" s="24" t="str">
        <x:v>QLT.14</x:v>
      </x:c>
      <x:c r="B238" s="25" t="str">
        <x:v>Qualidade</x:v>
      </x:c>
      <x:c r="C238" s="25" t="str">
        <x:v>Qualidade e Laboratório</x:v>
      </x:c>
      <x:c r="D238" s="18" t="str">
        <x:v>Certificados</x:v>
      </x:c>
      <x:c r="E238" s="18" t="str">
        <x:v>Laudo do lote</x:v>
      </x:c>
      <x:c r="F238" s="18" t="str">
        <x:v>Gerar resumo de parâmetros e aprovações do produto.</x:v>
      </x:c>
      <x:c r="G238" s="26" t="str">
        <x:v>Evolução</x:v>
      </x:c>
      <x:c r="H238" s="26" t="str">
        <x:v>Importante</x:v>
      </x:c>
      <x:c r="I238" s="26" t="str">
        <x:v>Qualidade / Cervejeiro</x:v>
      </x:c>
    </x:row>
    <x:row r="239" ht="30" customHeight="1">
      <x:c r="A239" s="24" t="str">
        <x:v>SEN.01</x:v>
      </x:c>
      <x:c r="B239" s="25" t="str">
        <x:v>Qualidade</x:v>
      </x:c>
      <x:c r="C239" s="25" t="str">
        <x:v>Avaliação Sensorial</x:v>
      </x:c>
      <x:c r="D239" s="18" t="str">
        <x:v>Sessões</x:v>
      </x:c>
      <x:c r="E239" s="18" t="str">
        <x:v>Criar degustação</x:v>
      </x:c>
      <x:c r="F239" s="18" t="str">
        <x:v>Definir amostras, objetivo, avaliadores, método e anonimização.</x:v>
      </x:c>
      <x:c r="G239" s="26" t="str">
        <x:v>Evolução</x:v>
      </x:c>
      <x:c r="H239" s="26" t="str">
        <x:v>Importante</x:v>
      </x:c>
      <x:c r="I239" s="26" t="str">
        <x:v>Cervejeiro / Avaliador</x:v>
      </x:c>
    </x:row>
    <x:row r="240" ht="30" customHeight="1">
      <x:c r="A240" s="24" t="str">
        <x:v>SEN.02</x:v>
      </x:c>
      <x:c r="B240" s="25" t="str">
        <x:v>Qualidade</x:v>
      </x:c>
      <x:c r="C240" s="25" t="str">
        <x:v>Avaliação Sensorial</x:v>
      </x:c>
      <x:c r="D240" s="18" t="str">
        <x:v>Fichas</x:v>
      </x:c>
      <x:c r="E240" s="18" t="str">
        <x:v>Modelo de avaliação</x:v>
      </x:c>
      <x:c r="F240" s="18" t="str">
        <x:v>Aroma, aparência, sabor, corpo, carbonatação, final e impressão geral.</x:v>
      </x:c>
      <x:c r="G240" s="26" t="str">
        <x:v>Evolução</x:v>
      </x:c>
      <x:c r="H240" s="26" t="str">
        <x:v>Importante</x:v>
      </x:c>
      <x:c r="I240" s="26" t="str">
        <x:v>Cervejeiro / Avaliador</x:v>
      </x:c>
    </x:row>
    <x:row r="241" ht="30" customHeight="1">
      <x:c r="A241" s="24" t="str">
        <x:v>SEN.03</x:v>
      </x:c>
      <x:c r="B241" s="25" t="str">
        <x:v>Qualidade</x:v>
      </x:c>
      <x:c r="C241" s="25" t="str">
        <x:v>Avaliação Sensorial</x:v>
      </x:c>
      <x:c r="D241" s="18" t="str">
        <x:v>Descritores</x:v>
      </x:c>
      <x:c r="E241" s="18" t="str">
        <x:v>Vocabulário próprio</x:v>
      </x:c>
      <x:c r="F241" s="18" t="str">
        <x:v>Cadastrar descritores positivos, defeitos, intensidade e limiar.</x:v>
      </x:c>
      <x:c r="G241" s="26" t="str">
        <x:v>Evolução</x:v>
      </x:c>
      <x:c r="H241" s="26" t="str">
        <x:v>Importante</x:v>
      </x:c>
      <x:c r="I241" s="26" t="str">
        <x:v>Cervejeiro / Avaliador</x:v>
      </x:c>
    </x:row>
    <x:row r="242" ht="30" customHeight="1">
      <x:c r="A242" s="24" t="str">
        <x:v>SEN.04</x:v>
      </x:c>
      <x:c r="B242" s="25" t="str">
        <x:v>Qualidade</x:v>
      </x:c>
      <x:c r="C242" s="25" t="str">
        <x:v>Avaliação Sensorial</x:v>
      </x:c>
      <x:c r="D242" s="18" t="str">
        <x:v>Defeitos</x:v>
      </x:c>
      <x:c r="E242" s="18" t="str">
        <x:v>Roda de sabores</x:v>
      </x:c>
      <x:c r="F242" s="18" t="str">
        <x:v>Registrar provável origem, etapa relacionada e ação preventiva.</x:v>
      </x:c>
      <x:c r="G242" s="26" t="str">
        <x:v>Evolução</x:v>
      </x:c>
      <x:c r="H242" s="26" t="str">
        <x:v>Importante</x:v>
      </x:c>
      <x:c r="I242" s="26" t="str">
        <x:v>Cervejeiro / Avaliador</x:v>
      </x:c>
    </x:row>
    <x:row r="243" ht="30" customHeight="1">
      <x:c r="A243" s="24" t="str">
        <x:v>SEN.05</x:v>
      </x:c>
      <x:c r="B243" s="25" t="str">
        <x:v>Qualidade</x:v>
      </x:c>
      <x:c r="C243" s="25" t="str">
        <x:v>Avaliação Sensorial</x:v>
      </x:c>
      <x:c r="D243" s="18" t="str">
        <x:v>Comparação</x:v>
      </x:c>
      <x:c r="E243" s="18" t="str">
        <x:v>Teste triangular</x:v>
      </x:c>
      <x:c r="F243" s="18" t="str">
        <x:v>Controlar apresentação, escolha e resultado estatístico básico.</x:v>
      </x:c>
      <x:c r="G243" s="26" t="str">
        <x:v>Evolução</x:v>
      </x:c>
      <x:c r="H243" s="26" t="str">
        <x:v>Importante</x:v>
      </x:c>
      <x:c r="I243" s="26" t="str">
        <x:v>Cervejeiro / Avaliador</x:v>
      </x:c>
    </x:row>
    <x:row r="244" ht="30" customHeight="1">
      <x:c r="A244" s="24" t="str">
        <x:v>SEN.06</x:v>
      </x:c>
      <x:c r="B244" s="25" t="str">
        <x:v>Qualidade</x:v>
      </x:c>
      <x:c r="C244" s="25" t="str">
        <x:v>Avaliação Sensorial</x:v>
      </x:c>
      <x:c r="D244" s="18" t="str">
        <x:v>Comparação</x:v>
      </x:c>
      <x:c r="E244" s="18" t="str">
        <x:v>Lote versus referência</x:v>
      </x:c>
      <x:c r="F244" s="18" t="str">
        <x:v>Comparar receita, lote anterior, concorrente ou padrão interno.</x:v>
      </x:c>
      <x:c r="G244" s="26" t="str">
        <x:v>Evolução</x:v>
      </x:c>
      <x:c r="H244" s="26" t="str">
        <x:v>Importante</x:v>
      </x:c>
      <x:c r="I244" s="26" t="str">
        <x:v>Cervejeiro / Avaliador</x:v>
      </x:c>
    </x:row>
    <x:row r="245" ht="30" customHeight="1">
      <x:c r="A245" s="24" t="str">
        <x:v>SEN.07</x:v>
      </x:c>
      <x:c r="B245" s="25" t="str">
        <x:v>Qualidade</x:v>
      </x:c>
      <x:c r="C245" s="25" t="str">
        <x:v>Avaliação Sensorial</x:v>
      </x:c>
      <x:c r="D245" s="18" t="str">
        <x:v>Resultado</x:v>
      </x:c>
      <x:c r="E245" s="18" t="str">
        <x:v>Consolidar notas</x:v>
      </x:c>
      <x:c r="F245" s="18" t="str">
        <x:v>Calcular média, dispersão e comentários sem expor resposta antes do fechamento.</x:v>
      </x:c>
      <x:c r="G245" s="26" t="str">
        <x:v>Evolução</x:v>
      </x:c>
      <x:c r="H245" s="26" t="str">
        <x:v>Importante</x:v>
      </x:c>
      <x:c r="I245" s="26" t="str">
        <x:v>Cervejeiro / Avaliador</x:v>
      </x:c>
    </x:row>
    <x:row r="246" ht="30" customHeight="1">
      <x:c r="A246" s="24" t="str">
        <x:v>SEN.08</x:v>
      </x:c>
      <x:c r="B246" s="25" t="str">
        <x:v>Qualidade</x:v>
      </x:c>
      <x:c r="C246" s="25" t="str">
        <x:v>Avaliação Sensorial</x:v>
      </x:c>
      <x:c r="D246" s="18" t="str">
        <x:v>Aprendizado</x:v>
      </x:c>
      <x:c r="E246" s="18" t="str">
        <x:v>Relacionar ao processo</x:v>
      </x:c>
      <x:c r="F246" s="18" t="str">
        <x:v>Cruzar avaliação com ingredientes, medições, desvios e armazenamento.</x:v>
      </x:c>
      <x:c r="G246" s="26" t="str">
        <x:v>Evolução</x:v>
      </x:c>
      <x:c r="H246" s="26" t="str">
        <x:v>Importante</x:v>
      </x:c>
      <x:c r="I246" s="26" t="str">
        <x:v>Cervejeiro / Avaliador</x:v>
      </x:c>
    </x:row>
    <x:row r="247" ht="30" customHeight="1">
      <x:c r="A247" s="24" t="str">
        <x:v>SEN.09</x:v>
      </x:c>
      <x:c r="B247" s="25" t="str">
        <x:v>Qualidade</x:v>
      </x:c>
      <x:c r="C247" s="25" t="str">
        <x:v>Avaliação Sensorial</x:v>
      </x:c>
      <x:c r="D247" s="18" t="str">
        <x:v>Plano</x:v>
      </x:c>
      <x:c r="E247" s="18" t="str">
        <x:v>Ações de melhoria</x:v>
      </x:c>
      <x:c r="F247" s="18" t="str">
        <x:v>Transformar achados em ajuste proposto para nova versão da receita.</x:v>
      </x:c>
      <x:c r="G247" s="26" t="str">
        <x:v>Evolução</x:v>
      </x:c>
      <x:c r="H247" s="26" t="str">
        <x:v>Importante</x:v>
      </x:c>
      <x:c r="I247" s="26" t="str">
        <x:v>Cervejeiro / Avaliador</x:v>
      </x:c>
    </x:row>
    <x:row r="248" ht="30" customHeight="1">
      <x:c r="A248" s="24" t="str">
        <x:v>CST.01</x:v>
      </x:c>
      <x:c r="B248" s="25" t="str">
        <x:v>Gestão</x:v>
      </x:c>
      <x:c r="C248" s="25" t="str">
        <x:v>Custos e Rentabilidade</x:v>
      </x:c>
      <x:c r="D248" s="18" t="str">
        <x:v>Insumos</x:v>
      </x:c>
      <x:c r="E248" s="18" t="str">
        <x:v>Custo por lote consumido</x:v>
      </x:c>
      <x:c r="F248" s="18" t="str">
        <x:v>Usar custo de aquisição do lote e quantidade efetivamente consumida.</x:v>
      </x:c>
      <x:c r="G248" s="26" t="str">
        <x:v>MVP 3</x:v>
      </x:c>
      <x:c r="H248" s="26" t="str">
        <x:v>Importante</x:v>
      </x:c>
      <x:c r="I248" s="26" t="str">
        <x:v>Administrador / Cervejeiro</x:v>
      </x:c>
    </x:row>
    <x:row r="249" ht="30" customHeight="1">
      <x:c r="A249" s="24" t="str">
        <x:v>CST.02</x:v>
      </x:c>
      <x:c r="B249" s="25" t="str">
        <x:v>Gestão</x:v>
      </x:c>
      <x:c r="C249" s="25" t="str">
        <x:v>Custos e Rentabilidade</x:v>
      </x:c>
      <x:c r="D249" s="18" t="str">
        <x:v>Processo</x:v>
      </x:c>
      <x:c r="E249" s="18" t="str">
        <x:v>Energia e utilidades</x:v>
      </x:c>
      <x:c r="F249" s="18" t="str">
        <x:v>Ratear eletricidade, água, gás, CO₂ e produtos de limpeza.</x:v>
      </x:c>
      <x:c r="G249" s="26" t="str">
        <x:v>MVP 3</x:v>
      </x:c>
      <x:c r="H249" s="26" t="str">
        <x:v>Importante</x:v>
      </x:c>
      <x:c r="I249" s="26" t="str">
        <x:v>Administrador / Cervejeiro</x:v>
      </x:c>
    </x:row>
    <x:row r="250" ht="30" customHeight="1">
      <x:c r="A250" s="24" t="str">
        <x:v>CST.03</x:v>
      </x:c>
      <x:c r="B250" s="25" t="str">
        <x:v>Gestão</x:v>
      </x:c>
      <x:c r="C250" s="25" t="str">
        <x:v>Custos e Rentabilidade</x:v>
      </x:c>
      <x:c r="D250" s="18" t="str">
        <x:v>Mão de obra</x:v>
      </x:c>
      <x:c r="E250" s="18" t="str">
        <x:v>Tempo por atividade</x:v>
      </x:c>
      <x:c r="F250" s="18" t="str">
        <x:v>Apontar horas e custo por função, etapa ou lote.</x:v>
      </x:c>
      <x:c r="G250" s="26" t="str">
        <x:v>MVP 3</x:v>
      </x:c>
      <x:c r="H250" s="26" t="str">
        <x:v>Importante</x:v>
      </x:c>
      <x:c r="I250" s="26" t="str">
        <x:v>Administrador / Cervejeiro</x:v>
      </x:c>
    </x:row>
    <x:row r="251" ht="30" customHeight="1">
      <x:c r="A251" s="24" t="str">
        <x:v>CST.04</x:v>
      </x:c>
      <x:c r="B251" s="25" t="str">
        <x:v>Gestão</x:v>
      </x:c>
      <x:c r="C251" s="25" t="str">
        <x:v>Custos e Rentabilidade</x:v>
      </x:c>
      <x:c r="D251" s="18" t="str">
        <x:v>Equipamentos</x:v>
      </x:c>
      <x:c r="E251" s="18" t="str">
        <x:v>Depreciação/manutenção</x:v>
      </x:c>
      <x:c r="F251" s="18" t="str">
        <x:v>Ratear custo por hora, uso ou lote conforme política.</x:v>
      </x:c>
      <x:c r="G251" s="26" t="str">
        <x:v>MVP 3</x:v>
      </x:c>
      <x:c r="H251" s="26" t="str">
        <x:v>Importante</x:v>
      </x:c>
      <x:c r="I251" s="26" t="str">
        <x:v>Administrador / Cervejeiro</x:v>
      </x:c>
    </x:row>
    <x:row r="252" ht="30" customHeight="1">
      <x:c r="A252" s="24" t="str">
        <x:v>CST.05</x:v>
      </x:c>
      <x:c r="B252" s="25" t="str">
        <x:v>Gestão</x:v>
      </x:c>
      <x:c r="C252" s="25" t="str">
        <x:v>Custos e Rentabilidade</x:v>
      </x:c>
      <x:c r="D252" s="18" t="str">
        <x:v>Perdas</x:v>
      </x:c>
      <x:c r="E252" s="18" t="str">
        <x:v>Custo de desperdício</x:v>
      </x:c>
      <x:c r="F252" s="18" t="str">
        <x:v>Valorizar trub, amostras, descarte, espuma, quebra e vencimento.</x:v>
      </x:c>
      <x:c r="G252" s="26" t="str">
        <x:v>MVP 3</x:v>
      </x:c>
      <x:c r="H252" s="26" t="str">
        <x:v>Importante</x:v>
      </x:c>
      <x:c r="I252" s="26" t="str">
        <x:v>Administrador / Cervejeiro</x:v>
      </x:c>
    </x:row>
    <x:row r="253" ht="30" customHeight="1">
      <x:c r="A253" s="24" t="str">
        <x:v>CST.06</x:v>
      </x:c>
      <x:c r="B253" s="25" t="str">
        <x:v>Gestão</x:v>
      </x:c>
      <x:c r="C253" s="25" t="str">
        <x:v>Custos e Rentabilidade</x:v>
      </x:c>
      <x:c r="D253" s="18" t="str">
        <x:v>Embalagem</x:v>
      </x:c>
      <x:c r="E253" s="18" t="str">
        <x:v>Custo unitário</x:v>
      </x:c>
      <x:c r="F253" s="18" t="str">
        <x:v>Calcular barril, garrafa, lata, tampa, rótulo e caixa.</x:v>
      </x:c>
      <x:c r="G253" s="26" t="str">
        <x:v>MVP 3</x:v>
      </x:c>
      <x:c r="H253" s="26" t="str">
        <x:v>Importante</x:v>
      </x:c>
      <x:c r="I253" s="26" t="str">
        <x:v>Administrador / Cervejeiro</x:v>
      </x:c>
    </x:row>
    <x:row r="254" ht="30" customHeight="1">
      <x:c r="A254" s="24" t="str">
        <x:v>CST.07</x:v>
      </x:c>
      <x:c r="B254" s="25" t="str">
        <x:v>Gestão</x:v>
      </x:c>
      <x:c r="C254" s="25" t="str">
        <x:v>Custos e Rentabilidade</x:v>
      </x:c>
      <x:c r="D254" s="18" t="str">
        <x:v>Comparação</x:v>
      </x:c>
      <x:c r="E254" s="18" t="str">
        <x:v>Planejado versus realizado</x:v>
      </x:c>
      <x:c r="F254" s="18" t="str">
        <x:v>Explicar variação por preço, consumo, rendimento e perdas.</x:v>
      </x:c>
      <x:c r="G254" s="26" t="str">
        <x:v>MVP 3</x:v>
      </x:c>
      <x:c r="H254" s="26" t="str">
        <x:v>Importante</x:v>
      </x:c>
      <x:c r="I254" s="26" t="str">
        <x:v>Administrador / Cervejeiro</x:v>
      </x:c>
    </x:row>
    <x:row r="255" ht="30" customHeight="1">
      <x:c r="A255" s="24" t="str">
        <x:v>CST.08</x:v>
      </x:c>
      <x:c r="B255" s="25" t="str">
        <x:v>Gestão</x:v>
      </x:c>
      <x:c r="C255" s="25" t="str">
        <x:v>Custos e Rentabilidade</x:v>
      </x:c>
      <x:c r="D255" s="18" t="str">
        <x:v>Indicadores</x:v>
      </x:c>
      <x:c r="E255" s="18" t="str">
        <x:v>Custo por litro</x:v>
      </x:c>
      <x:c r="F255" s="18" t="str">
        <x:v>Mostrar antes e depois do envase, por lote, receita e período.</x:v>
      </x:c>
      <x:c r="G255" s="26" t="str">
        <x:v>MVP 3</x:v>
      </x:c>
      <x:c r="H255" s="26" t="str">
        <x:v>Importante</x:v>
      </x:c>
      <x:c r="I255" s="26" t="str">
        <x:v>Administrador / Cervejeiro</x:v>
      </x:c>
    </x:row>
    <x:row r="256" ht="30" customHeight="1">
      <x:c r="A256" s="24" t="str">
        <x:v>CST.09</x:v>
      </x:c>
      <x:c r="B256" s="25" t="str">
        <x:v>Gestão</x:v>
      </x:c>
      <x:c r="C256" s="25" t="str">
        <x:v>Custos e Rentabilidade</x:v>
      </x:c>
      <x:c r="D256" s="18" t="str">
        <x:v>Precificação</x:v>
      </x:c>
      <x:c r="E256" s="18" t="str">
        <x:v>Preço sugerido</x:v>
      </x:c>
      <x:c r="F256" s="18" t="str">
        <x:v>Simular margem, impostos, canal, comissão e embalagem.</x:v>
      </x:c>
      <x:c r="G256" s="26" t="str">
        <x:v>MVP 3</x:v>
      </x:c>
      <x:c r="H256" s="26" t="str">
        <x:v>Importante</x:v>
      </x:c>
      <x:c r="I256" s="26" t="str">
        <x:v>Administrador / Cervejeiro</x:v>
      </x:c>
    </x:row>
    <x:row r="257" ht="30" customHeight="1">
      <x:c r="A257" s="24" t="str">
        <x:v>CST.10</x:v>
      </x:c>
      <x:c r="B257" s="25" t="str">
        <x:v>Gestão</x:v>
      </x:c>
      <x:c r="C257" s="25" t="str">
        <x:v>Custos e Rentabilidade</x:v>
      </x:c>
      <x:c r="D257" s="18" t="str">
        <x:v>Snapshot</x:v>
      </x:c>
      <x:c r="E257" s="18" t="str">
        <x:v>Fechamento financeiro</x:v>
      </x:c>
      <x:c r="F257" s="18" t="str">
        <x:v>Congelar custo realizado no encerramento, mantendo ajustes auditados.</x:v>
      </x:c>
      <x:c r="G257" s="26" t="str">
        <x:v>MVP 3</x:v>
      </x:c>
      <x:c r="H257" s="26" t="str">
        <x:v>Importante</x:v>
      </x:c>
      <x:c r="I257" s="26" t="str">
        <x:v>Administrador / Cervejeiro</x:v>
      </x:c>
    </x:row>
    <x:row r="258" ht="30" customHeight="1">
      <x:c r="A258" s="24" t="str">
        <x:v>RPT.01</x:v>
      </x:c>
      <x:c r="B258" s="25" t="str">
        <x:v>Gestão</x:v>
      </x:c>
      <x:c r="C258" s="25" t="str">
        <x:v>Relatórios e Indicadores</x:v>
      </x:c>
      <x:c r="D258" s="18" t="str">
        <x:v>Receitas</x:v>
      </x:c>
      <x:c r="E258" s="18" t="str">
        <x:v>Portfólio</x:v>
      </x:c>
      <x:c r="F258" s="18" t="str">
        <x:v>Listar versões, estilos, volumes, avaliações e frequência de produção.</x:v>
      </x:c>
      <x:c r="G258" s="26" t="str">
        <x:v>Evolução</x:v>
      </x:c>
      <x:c r="H258" s="26" t="str">
        <x:v>Importante</x:v>
      </x:c>
      <x:c r="I258" s="26" t="str">
        <x:v>Todos conforme acesso</x:v>
      </x:c>
    </x:row>
    <x:row r="259" ht="30" customHeight="1">
      <x:c r="A259" s="24" t="str">
        <x:v>RPT.02</x:v>
      </x:c>
      <x:c r="B259" s="25" t="str">
        <x:v>Gestão</x:v>
      </x:c>
      <x:c r="C259" s="25" t="str">
        <x:v>Relatórios e Indicadores</x:v>
      </x:c>
      <x:c r="D259" s="18" t="str">
        <x:v>Produção</x:v>
      </x:c>
      <x:c r="E259" s="18" t="str">
        <x:v>Histórico de lotes</x:v>
      </x:c>
      <x:c r="F259" s="18" t="str">
        <x:v>Filtrar por receita, equipamento, responsável, status e período.</x:v>
      </x:c>
      <x:c r="G259" s="26" t="str">
        <x:v>Evolução</x:v>
      </x:c>
      <x:c r="H259" s="26" t="str">
        <x:v>Importante</x:v>
      </x:c>
      <x:c r="I259" s="26" t="str">
        <x:v>Todos conforme acesso</x:v>
      </x:c>
    </x:row>
    <x:row r="260" ht="30" customHeight="1">
      <x:c r="A260" s="24" t="str">
        <x:v>RPT.03</x:v>
      </x:c>
      <x:c r="B260" s="25" t="str">
        <x:v>Gestão</x:v>
      </x:c>
      <x:c r="C260" s="25" t="str">
        <x:v>Relatórios e Indicadores</x:v>
      </x:c>
      <x:c r="D260" s="18" t="str">
        <x:v>Produção</x:v>
      </x:c>
      <x:c r="E260" s="18" t="str">
        <x:v>Plano versus realizado</x:v>
      </x:c>
      <x:c r="F260" s="18" t="str">
        <x:v>Comparar tempos, volumes, OG/FG, eficiência e perdas.</x:v>
      </x:c>
      <x:c r="G260" s="26" t="str">
        <x:v>Evolução</x:v>
      </x:c>
      <x:c r="H260" s="26" t="str">
        <x:v>Importante</x:v>
      </x:c>
      <x:c r="I260" s="26" t="str">
        <x:v>Todos conforme acesso</x:v>
      </x:c>
    </x:row>
    <x:row r="261" ht="30" customHeight="1">
      <x:c r="A261" s="24" t="str">
        <x:v>RPT.04</x:v>
      </x:c>
      <x:c r="B261" s="25" t="str">
        <x:v>Gestão</x:v>
      </x:c>
      <x:c r="C261" s="25" t="str">
        <x:v>Relatórios e Indicadores</x:v>
      </x:c>
      <x:c r="D261" s="18" t="str">
        <x:v>Fermentação</x:v>
      </x:c>
      <x:c r="E261" s="18" t="str">
        <x:v>Desempenho</x:v>
      </x:c>
      <x:c r="F261" s="18" t="str">
        <x:v>Comparar duração, atenuação, temperatura, estabilidade e desvios.</x:v>
      </x:c>
      <x:c r="G261" s="26" t="str">
        <x:v>Evolução</x:v>
      </x:c>
      <x:c r="H261" s="26" t="str">
        <x:v>Importante</x:v>
      </x:c>
      <x:c r="I261" s="26" t="str">
        <x:v>Todos conforme acesso</x:v>
      </x:c>
    </x:row>
    <x:row r="262" ht="30" customHeight="1">
      <x:c r="A262" s="24" t="str">
        <x:v>RPT.05</x:v>
      </x:c>
      <x:c r="B262" s="25" t="str">
        <x:v>Gestão</x:v>
      </x:c>
      <x:c r="C262" s="25" t="str">
        <x:v>Relatórios e Indicadores</x:v>
      </x:c>
      <x:c r="D262" s="18" t="str">
        <x:v>Estoque</x:v>
      </x:c>
      <x:c r="E262" s="18" t="str">
        <x:v>Posição e cobertura</x:v>
      </x:c>
      <x:c r="F262" s="18" t="str">
        <x:v>Saldo, reservas, dias de cobertura, vencimentos e ruptura.</x:v>
      </x:c>
      <x:c r="G262" s="26" t="str">
        <x:v>Evolução</x:v>
      </x:c>
      <x:c r="H262" s="26" t="str">
        <x:v>Importante</x:v>
      </x:c>
      <x:c r="I262" s="26" t="str">
        <x:v>Todos conforme acesso</x:v>
      </x:c>
    </x:row>
    <x:row r="263" ht="30" customHeight="1">
      <x:c r="A263" s="24" t="str">
        <x:v>RPT.06</x:v>
      </x:c>
      <x:c r="B263" s="25" t="str">
        <x:v>Gestão</x:v>
      </x:c>
      <x:c r="C263" s="25" t="str">
        <x:v>Relatórios e Indicadores</x:v>
      </x:c>
      <x:c r="D263" s="18" t="str">
        <x:v>Estoque</x:v>
      </x:c>
      <x:c r="E263" s="18" t="str">
        <x:v>Consumo e perdas</x:v>
      </x:c>
      <x:c r="F263" s="18" t="str">
        <x:v>Analisar consumo por item, receita, lote, causa e período.</x:v>
      </x:c>
      <x:c r="G263" s="26" t="str">
        <x:v>Evolução</x:v>
      </x:c>
      <x:c r="H263" s="26" t="str">
        <x:v>Importante</x:v>
      </x:c>
      <x:c r="I263" s="26" t="str">
        <x:v>Todos conforme acesso</x:v>
      </x:c>
    </x:row>
    <x:row r="264" ht="30" customHeight="1">
      <x:c r="A264" s="24" t="str">
        <x:v>RPT.07</x:v>
      </x:c>
      <x:c r="B264" s="25" t="str">
        <x:v>Gestão</x:v>
      </x:c>
      <x:c r="C264" s="25" t="str">
        <x:v>Relatórios e Indicadores</x:v>
      </x:c>
      <x:c r="D264" s="18" t="str">
        <x:v>Rastreabilidade</x:v>
      </x:c>
      <x:c r="E264" s="18" t="str">
        <x:v>Genealogia completa</x:v>
      </x:c>
      <x:c r="F264" s="18" t="str">
        <x:v>Fornecedor, lote de insumo, OP, lote, embalagem e destino.</x:v>
      </x:c>
      <x:c r="G264" s="26" t="str">
        <x:v>Evolução</x:v>
      </x:c>
      <x:c r="H264" s="26" t="str">
        <x:v>Importante</x:v>
      </x:c>
      <x:c r="I264" s="26" t="str">
        <x:v>Todos conforme acesso</x:v>
      </x:c>
    </x:row>
    <x:row r="265" ht="30" customHeight="1">
      <x:c r="A265" s="24" t="str">
        <x:v>RPT.08</x:v>
      </x:c>
      <x:c r="B265" s="25" t="str">
        <x:v>Gestão</x:v>
      </x:c>
      <x:c r="C265" s="25" t="str">
        <x:v>Relatórios e Indicadores</x:v>
      </x:c>
      <x:c r="D265" s="18" t="str">
        <x:v>Qualidade</x:v>
      </x:c>
      <x:c r="E265" s="18" t="str">
        <x:v>Conformidade</x:v>
      </x:c>
      <x:c r="F265" s="18" t="str">
        <x:v>Taxa de aprovação, desvios, recorrência, causa e ação corretiva.</x:v>
      </x:c>
      <x:c r="G265" s="26" t="str">
        <x:v>Evolução</x:v>
      </x:c>
      <x:c r="H265" s="26" t="str">
        <x:v>Importante</x:v>
      </x:c>
      <x:c r="I265" s="26" t="str">
        <x:v>Todos conforme acesso</x:v>
      </x:c>
    </x:row>
    <x:row r="266" ht="30" customHeight="1">
      <x:c r="A266" s="24" t="str">
        <x:v>RPT.09</x:v>
      </x:c>
      <x:c r="B266" s="25" t="str">
        <x:v>Gestão</x:v>
      </x:c>
      <x:c r="C266" s="25" t="str">
        <x:v>Relatórios e Indicadores</x:v>
      </x:c>
      <x:c r="D266" s="18" t="str">
        <x:v>Custos</x:v>
      </x:c>
      <x:c r="E266" s="18" t="str">
        <x:v>Custo e variação</x:v>
      </x:c>
      <x:c r="F266" s="18" t="str">
        <x:v>Planejado/real, custo por litro, embalagem, receita e lote.</x:v>
      </x:c>
      <x:c r="G266" s="26" t="str">
        <x:v>Evolução</x:v>
      </x:c>
      <x:c r="H266" s="26" t="str">
        <x:v>Importante</x:v>
      </x:c>
      <x:c r="I266" s="26" t="str">
        <x:v>Todos conforme acesso</x:v>
      </x:c>
    </x:row>
    <x:row r="267" ht="30" customHeight="1">
      <x:c r="A267" s="24" t="str">
        <x:v>RPT.10</x:v>
      </x:c>
      <x:c r="B267" s="25" t="str">
        <x:v>Gestão</x:v>
      </x:c>
      <x:c r="C267" s="25" t="str">
        <x:v>Relatórios e Indicadores</x:v>
      </x:c>
      <x:c r="D267" s="18" t="str">
        <x:v>Equipamentos</x:v>
      </x:c>
      <x:c r="E267" s="18" t="str">
        <x:v>Utilização</x:v>
      </x:c>
      <x:c r="F267" s="18" t="str">
        <x:v>Ocupação, disponibilidade, manutenção, calibração e eficiência.</x:v>
      </x:c>
      <x:c r="G267" s="26" t="str">
        <x:v>Evolução</x:v>
      </x:c>
      <x:c r="H267" s="26" t="str">
        <x:v>Importante</x:v>
      </x:c>
      <x:c r="I267" s="26" t="str">
        <x:v>Todos conforme acesso</x:v>
      </x:c>
    </x:row>
    <x:row r="268" ht="30" customHeight="1">
      <x:c r="A268" s="24" t="str">
        <x:v>RPT.11</x:v>
      </x:c>
      <x:c r="B268" s="25" t="str">
        <x:v>Gestão</x:v>
      </x:c>
      <x:c r="C268" s="25" t="str">
        <x:v>Relatórios e Indicadores</x:v>
      </x:c>
      <x:c r="D268" s="18" t="str">
        <x:v>Sensorial</x:v>
      </x:c>
      <x:c r="E268" s="18" t="str">
        <x:v>Evolução da receita</x:v>
      </x:c>
      <x:c r="F268" s="18" t="str">
        <x:v>Comparar notas e descritores entre versões e lotes.</x:v>
      </x:c>
      <x:c r="G268" s="26" t="str">
        <x:v>Evolução</x:v>
      </x:c>
      <x:c r="H268" s="26" t="str">
        <x:v>Importante</x:v>
      </x:c>
      <x:c r="I268" s="26" t="str">
        <x:v>Todos conforme acesso</x:v>
      </x:c>
    </x:row>
    <x:row r="269" ht="30" customHeight="1">
      <x:c r="A269" s="24" t="str">
        <x:v>RPT.12</x:v>
      </x:c>
      <x:c r="B269" s="25" t="str">
        <x:v>Gestão</x:v>
      </x:c>
      <x:c r="C269" s="25" t="str">
        <x:v>Relatórios e Indicadores</x:v>
      </x:c>
      <x:c r="D269" s="18" t="str">
        <x:v>Exportação</x:v>
      </x:c>
      <x:c r="E269" s="18" t="str">
        <x:v>PDF, XLSX e CSV</x:v>
      </x:c>
      <x:c r="F269" s="18" t="str">
        <x:v>Aplicar filtros, permissões e registro da exportação.</x:v>
      </x:c>
      <x:c r="G269" s="26" t="str">
        <x:v>Evolução</x:v>
      </x:c>
      <x:c r="H269" s="26" t="str">
        <x:v>Importante</x:v>
      </x:c>
      <x:c r="I269" s="26" t="str">
        <x:v>Todos conforme acesso</x:v>
      </x:c>
    </x:row>
    <x:row r="270" ht="30" customHeight="1">
      <x:c r="A270" s="24" t="str">
        <x:v>AIA.01</x:v>
      </x:c>
      <x:c r="B270" s="25" t="str">
        <x:v>Inteligência</x:v>
      </x:c>
      <x:c r="C270" s="25" t="str">
        <x:v>IA e Base de Conhecimento</x:v>
      </x:c>
      <x:c r="D270" s="18" t="str">
        <x:v>Copiloto</x:v>
      </x:c>
      <x:c r="E270" s="18" t="str">
        <x:v>Chat contextual</x:v>
      </x:c>
      <x:c r="F270" s="18" t="str">
        <x:v>Responder considerando receita, lote, etapa, medições e permissões do usuário.</x:v>
      </x:c>
      <x:c r="G270" s="26" t="str">
        <x:v>Evolução</x:v>
      </x:c>
      <x:c r="H270" s="26" t="str">
        <x:v>Avançado</x:v>
      </x:c>
      <x:c r="I270" s="26" t="str">
        <x:v>Cervejeiro / Administrador</x:v>
      </x:c>
    </x:row>
    <x:row r="271" ht="30" customHeight="1">
      <x:c r="A271" s="24" t="str">
        <x:v>AIA.02</x:v>
      </x:c>
      <x:c r="B271" s="25" t="str">
        <x:v>Inteligência</x:v>
      </x:c>
      <x:c r="C271" s="25" t="str">
        <x:v>IA e Base de Conhecimento</x:v>
      </x:c>
      <x:c r="D271" s="18" t="str">
        <x:v>Receitas</x:v>
      </x:c>
      <x:c r="E271" s="18" t="str">
        <x:v>Criar rascunho</x:v>
      </x:c>
      <x:c r="F271" s="18" t="str">
        <x:v>Gerar proposta estruturada a partir de estilo, objetivo, equipamento e estoque.</x:v>
      </x:c>
      <x:c r="G271" s="26" t="str">
        <x:v>Evolução</x:v>
      </x:c>
      <x:c r="H271" s="26" t="str">
        <x:v>Avançado</x:v>
      </x:c>
      <x:c r="I271" s="26" t="str">
        <x:v>Cervejeiro / Administrador</x:v>
      </x:c>
    </x:row>
    <x:row r="272" ht="30" customHeight="1">
      <x:c r="A272" s="24" t="str">
        <x:v>AIA.03</x:v>
      </x:c>
      <x:c r="B272" s="25" t="str">
        <x:v>Inteligência</x:v>
      </x:c>
      <x:c r="C272" s="25" t="str">
        <x:v>IA e Base de Conhecimento</x:v>
      </x:c>
      <x:c r="D272" s="18" t="str">
        <x:v>Receitas</x:v>
      </x:c>
      <x:c r="E272" s="18" t="str">
        <x:v>Avaliar receita</x:v>
      </x:c>
      <x:c r="F272" s="18" t="str">
        <x:v>Apontar inconsistências, equilíbrio, riscos, substituições e impacto calculado.</x:v>
      </x:c>
      <x:c r="G272" s="26" t="str">
        <x:v>Evolução</x:v>
      </x:c>
      <x:c r="H272" s="26" t="str">
        <x:v>Avançado</x:v>
      </x:c>
      <x:c r="I272" s="26" t="str">
        <x:v>Cervejeiro / Administrador</x:v>
      </x:c>
    </x:row>
    <x:row r="273" ht="30" customHeight="1">
      <x:c r="A273" s="24" t="str">
        <x:v>AIA.04</x:v>
      </x:c>
      <x:c r="B273" s="25" t="str">
        <x:v>Inteligência</x:v>
      </x:c>
      <x:c r="C273" s="25" t="str">
        <x:v>IA e Base de Conhecimento</x:v>
      </x:c>
      <x:c r="D273" s="18" t="str">
        <x:v>Receitas</x:v>
      </x:c>
      <x:c r="E273" s="18" t="str">
        <x:v>Comparar versões</x:v>
      </x:c>
      <x:c r="F273" s="18" t="str">
        <x:v>Explicar diferenças técnicas e sensoriais previstas.</x:v>
      </x:c>
      <x:c r="G273" s="26" t="str">
        <x:v>Evolução</x:v>
      </x:c>
      <x:c r="H273" s="26" t="str">
        <x:v>Avançado</x:v>
      </x:c>
      <x:c r="I273" s="26" t="str">
        <x:v>Cervejeiro / Administrador</x:v>
      </x:c>
    </x:row>
    <x:row r="274" ht="30" customHeight="1">
      <x:c r="A274" s="24" t="str">
        <x:v>AIA.05</x:v>
      </x:c>
      <x:c r="B274" s="25" t="str">
        <x:v>Inteligência</x:v>
      </x:c>
      <x:c r="C274" s="25" t="str">
        <x:v>IA e Base de Conhecimento</x:v>
      </x:c>
      <x:c r="D274" s="18" t="str">
        <x:v>Produção</x:v>
      </x:c>
      <x:c r="E274" s="18" t="str">
        <x:v>Assistente de correção</x:v>
      </x:c>
      <x:c r="F274" s="18" t="str">
        <x:v>Interpretar cálculo determinístico e priorizar opções com riscos e confiança.</x:v>
      </x:c>
      <x:c r="G274" s="26" t="str">
        <x:v>Evolução</x:v>
      </x:c>
      <x:c r="H274" s="26" t="str">
        <x:v>Avançado</x:v>
      </x:c>
      <x:c r="I274" s="26" t="str">
        <x:v>Cervejeiro / Administrador</x:v>
      </x:c>
    </x:row>
    <x:row r="275" ht="30" customHeight="1">
      <x:c r="A275" s="24" t="str">
        <x:v>AIA.06</x:v>
      </x:c>
      <x:c r="B275" s="25" t="str">
        <x:v>Inteligência</x:v>
      </x:c>
      <x:c r="C275" s="25" t="str">
        <x:v>IA e Base de Conhecimento</x:v>
      </x:c>
      <x:c r="D275" s="18" t="str">
        <x:v>Produção</x:v>
      </x:c>
      <x:c r="E275" s="18" t="str">
        <x:v>Anomalias</x:v>
      </x:c>
      <x:c r="F275" s="18" t="str">
        <x:v>Detectar tendência incomum em densidade, temperatura, pressão e duração.</x:v>
      </x:c>
      <x:c r="G275" s="26" t="str">
        <x:v>Evolução</x:v>
      </x:c>
      <x:c r="H275" s="26" t="str">
        <x:v>Avançado</x:v>
      </x:c>
      <x:c r="I275" s="26" t="str">
        <x:v>Cervejeiro / Administrador</x:v>
      </x:c>
    </x:row>
    <x:row r="276" ht="30" customHeight="1">
      <x:c r="A276" s="24" t="str">
        <x:v>AIA.07</x:v>
      </x:c>
      <x:c r="B276" s="25" t="str">
        <x:v>Inteligência</x:v>
      </x:c>
      <x:c r="C276" s="25" t="str">
        <x:v>IA e Base de Conhecimento</x:v>
      </x:c>
      <x:c r="D276" s="18" t="str">
        <x:v>Qualidade</x:v>
      </x:c>
      <x:c r="E276" s="18" t="str">
        <x:v>Análise de causa</x:v>
      </x:c>
      <x:c r="F276" s="18" t="str">
        <x:v>Organizar hipóteses a partir de desvios, processo, ingredientes e histórico.</x:v>
      </x:c>
      <x:c r="G276" s="26" t="str">
        <x:v>Evolução</x:v>
      </x:c>
      <x:c r="H276" s="26" t="str">
        <x:v>Avançado</x:v>
      </x:c>
      <x:c r="I276" s="26" t="str">
        <x:v>Cervejeiro / Administrador</x:v>
      </x:c>
    </x:row>
    <x:row r="277" ht="30" customHeight="1">
      <x:c r="A277" s="24" t="str">
        <x:v>AIA.08</x:v>
      </x:c>
      <x:c r="B277" s="25" t="str">
        <x:v>Inteligência</x:v>
      </x:c>
      <x:c r="C277" s="25" t="str">
        <x:v>IA e Base de Conhecimento</x:v>
      </x:c>
      <x:c r="D277" s="18" t="str">
        <x:v>Sensorial</x:v>
      </x:c>
      <x:c r="E277" s="18" t="str">
        <x:v>Síntese de avaliações</x:v>
      </x:c>
      <x:c r="F277" s="18" t="str">
        <x:v>Consolidar padrões sem inventar medições nem substituir notas originais.</x:v>
      </x:c>
      <x:c r="G277" s="26" t="str">
        <x:v>Evolução</x:v>
      </x:c>
      <x:c r="H277" s="26" t="str">
        <x:v>Avançado</x:v>
      </x:c>
      <x:c r="I277" s="26" t="str">
        <x:v>Cervejeiro / Administrador</x:v>
      </x:c>
    </x:row>
    <x:row r="278" ht="30" customHeight="1">
      <x:c r="A278" s="24" t="str">
        <x:v>AIA.09</x:v>
      </x:c>
      <x:c r="B278" s="25" t="str">
        <x:v>Inteligência</x:v>
      </x:c>
      <x:c r="C278" s="25" t="str">
        <x:v>IA e Base de Conhecimento</x:v>
      </x:c>
      <x:c r="D278" s="18" t="str">
        <x:v>Conhecimento</x:v>
      </x:c>
      <x:c r="E278" s="18" t="str">
        <x:v>Biblioteca RAG</x:v>
      </x:c>
      <x:c r="F278" s="18" t="str">
        <x:v>Indexar manuais, POPs, laudos, fichas, cursos e notas com metadados.</x:v>
      </x:c>
      <x:c r="G278" s="26" t="str">
        <x:v>Evolução</x:v>
      </x:c>
      <x:c r="H278" s="26" t="str">
        <x:v>Avançado</x:v>
      </x:c>
      <x:c r="I278" s="26" t="str">
        <x:v>Cervejeiro / Administrador</x:v>
      </x:c>
    </x:row>
    <x:row r="279" ht="30" customHeight="1">
      <x:c r="A279" s="24" t="str">
        <x:v>AIA.10</x:v>
      </x:c>
      <x:c r="B279" s="25" t="str">
        <x:v>Inteligência</x:v>
      </x:c>
      <x:c r="C279" s="25" t="str">
        <x:v>IA e Base de Conhecimento</x:v>
      </x:c>
      <x:c r="D279" s="18" t="str">
        <x:v>Conhecimento</x:v>
      </x:c>
      <x:c r="E279" s="18" t="str">
        <x:v>Respostas com fonte</x:v>
      </x:c>
      <x:c r="F279" s="18" t="str">
        <x:v>Exibir documentos/trechos recuperados e separar fato de inferência.</x:v>
      </x:c>
      <x:c r="G279" s="26" t="str">
        <x:v>Evolução</x:v>
      </x:c>
      <x:c r="H279" s="26" t="str">
        <x:v>Avançado</x:v>
      </x:c>
      <x:c r="I279" s="26" t="str">
        <x:v>Cervejeiro / Administrador</x:v>
      </x:c>
    </x:row>
    <x:row r="280" ht="30" customHeight="1">
      <x:c r="A280" s="24" t="str">
        <x:v>AIA.11</x:v>
      </x:c>
      <x:c r="B280" s="25" t="str">
        <x:v>Inteligência</x:v>
      </x:c>
      <x:c r="C280" s="25" t="str">
        <x:v>IA e Base de Conhecimento</x:v>
      </x:c>
      <x:c r="D280" s="18" t="str">
        <x:v>Automação</x:v>
      </x:c>
      <x:c r="E280" s="18" t="str">
        <x:v>Geração de documentos</x:v>
      </x:c>
      <x:c r="F280" s="18" t="str">
        <x:v>Criar ficha, resumo de lote, relatório e instrução para revisão.</x:v>
      </x:c>
      <x:c r="G280" s="26" t="str">
        <x:v>Evolução</x:v>
      </x:c>
      <x:c r="H280" s="26" t="str">
        <x:v>Avançado</x:v>
      </x:c>
      <x:c r="I280" s="26" t="str">
        <x:v>Cervejeiro / Administrador</x:v>
      </x:c>
    </x:row>
    <x:row r="281" ht="30" customHeight="1">
      <x:c r="A281" s="24" t="str">
        <x:v>AIA.12</x:v>
      </x:c>
      <x:c r="B281" s="25" t="str">
        <x:v>Inteligência</x:v>
      </x:c>
      <x:c r="C281" s="25" t="str">
        <x:v>IA e Base de Conhecimento</x:v>
      </x:c>
      <x:c r="D281" s="18" t="str">
        <x:v>Governança</x:v>
      </x:c>
      <x:c r="E281" s="18" t="str">
        <x:v>Gateway de modelos</x:v>
      </x:c>
      <x:c r="F281" s="18" t="str">
        <x:v>Trocar provedor/modelo, controlar timeout, custo, fallback e disponibilidade.</x:v>
      </x:c>
      <x:c r="G281" s="26" t="str">
        <x:v>Evolução</x:v>
      </x:c>
      <x:c r="H281" s="26" t="str">
        <x:v>Avançado</x:v>
      </x:c>
      <x:c r="I281" s="26" t="str">
        <x:v>Cervejeiro / Administrador</x:v>
      </x:c>
    </x:row>
    <x:row r="282" ht="30" customHeight="1">
      <x:c r="A282" s="24" t="str">
        <x:v>AIA.13</x:v>
      </x:c>
      <x:c r="B282" s="25" t="str">
        <x:v>Inteligência</x:v>
      </x:c>
      <x:c r="C282" s="25" t="str">
        <x:v>IA e Base de Conhecimento</x:v>
      </x:c>
      <x:c r="D282" s="18" t="str">
        <x:v>Governança</x:v>
      </x:c>
      <x:c r="E282" s="18" t="str">
        <x:v>Prompts e schemas</x:v>
      </x:c>
      <x:c r="F282" s="18" t="str">
        <x:v>Versionar prompts, validar JSON e testar regressões com casos dourados.</x:v>
      </x:c>
      <x:c r="G282" s="26" t="str">
        <x:v>Evolução</x:v>
      </x:c>
      <x:c r="H282" s="26" t="str">
        <x:v>Avançado</x:v>
      </x:c>
      <x:c r="I282" s="26" t="str">
        <x:v>Cervejeiro / Administrador</x:v>
      </x:c>
    </x:row>
    <x:row r="283" ht="30" customHeight="1">
      <x:c r="A283" s="24" t="str">
        <x:v>AIA.14</x:v>
      </x:c>
      <x:c r="B283" s="25" t="str">
        <x:v>Inteligência</x:v>
      </x:c>
      <x:c r="C283" s="25" t="str">
        <x:v>IA e Base de Conhecimento</x:v>
      </x:c>
      <x:c r="D283" s="18" t="str">
        <x:v>Segurança</x:v>
      </x:c>
      <x:c r="E283" s="18" t="str">
        <x:v>Proteção do contexto</x:v>
      </x:c>
      <x:c r="F283" s="18" t="str">
        <x:v>Filtrar dados, mascarar segredos e mitigar prompt injection em documentos.</x:v>
      </x:c>
      <x:c r="G283" s="26" t="str">
        <x:v>Evolução</x:v>
      </x:c>
      <x:c r="H283" s="26" t="str">
        <x:v>Avançado</x:v>
      </x:c>
      <x:c r="I283" s="26" t="str">
        <x:v>Cervejeiro / Administrador</x:v>
      </x:c>
    </x:row>
    <x:row r="284" ht="30" customHeight="1">
      <x:c r="A284" s="24" t="str">
        <x:v>AIA.15</x:v>
      </x:c>
      <x:c r="B284" s="25" t="str">
        <x:v>Inteligência</x:v>
      </x:c>
      <x:c r="C284" s="25" t="str">
        <x:v>IA e Base de Conhecimento</x:v>
      </x:c>
      <x:c r="D284" s="18" t="str">
        <x:v>Auditoria</x:v>
      </x:c>
      <x:c r="E284" s="18" t="str">
        <x:v>Rastro da interação</x:v>
      </x:c>
      <x:c r="F284" s="18" t="str">
        <x:v>Guardar usuário, modelo, prompt/versionamento, fontes, custo, latência e aceite.</x:v>
      </x:c>
      <x:c r="G284" s="26" t="str">
        <x:v>Evolução</x:v>
      </x:c>
      <x:c r="H284" s="26" t="str">
        <x:v>Avançado</x:v>
      </x:c>
      <x:c r="I284" s="26" t="str">
        <x:v>Cervejeiro / Administrador</x:v>
      </x:c>
    </x:row>
    <x:row r="285" ht="30" customHeight="1">
      <x:c r="A285" s="24" t="str">
        <x:v>ALT.01</x:v>
      </x:c>
      <x:c r="B285" s="25" t="str">
        <x:v>Plataforma</x:v>
      </x:c>
      <x:c r="C285" s="25" t="str">
        <x:v>Alertas e Notificações</x:v>
      </x:c>
      <x:c r="D285" s="18" t="str">
        <x:v>Produção</x:v>
      </x:c>
      <x:c r="E285" s="18" t="str">
        <x:v>Cronômetros</x:v>
      </x:c>
      <x:c r="F285" s="18" t="str">
        <x:v>Alertar início/fim de etapa e adições programadas.</x:v>
      </x:c>
      <x:c r="G285" s="26" t="str">
        <x:v>MVP 2</x:v>
      </x:c>
      <x:c r="H285" s="26" t="str">
        <x:v>Importante</x:v>
      </x:c>
      <x:c r="I285" s="26" t="str">
        <x:v>Todos conforme acesso</x:v>
      </x:c>
    </x:row>
    <x:row r="286" ht="30" customHeight="1">
      <x:c r="A286" s="24" t="str">
        <x:v>ALT.02</x:v>
      </x:c>
      <x:c r="B286" s="25" t="str">
        <x:v>Plataforma</x:v>
      </x:c>
      <x:c r="C286" s="25" t="str">
        <x:v>Alertas e Notificações</x:v>
      </x:c>
      <x:c r="D286" s="18" t="str">
        <x:v>Produção</x:v>
      </x:c>
      <x:c r="E286" s="18" t="str">
        <x:v>Medição fora da faixa</x:v>
      </x:c>
      <x:c r="F286" s="18" t="str">
        <x:v>Notificar desvio e ação definida no ponto de controle.</x:v>
      </x:c>
      <x:c r="G286" s="26" t="str">
        <x:v>MVP 2</x:v>
      </x:c>
      <x:c r="H286" s="26" t="str">
        <x:v>Importante</x:v>
      </x:c>
      <x:c r="I286" s="26" t="str">
        <x:v>Todos conforme acesso</x:v>
      </x:c>
    </x:row>
    <x:row r="287" ht="30" customHeight="1">
      <x:c r="A287" s="24" t="str">
        <x:v>ALT.03</x:v>
      </x:c>
      <x:c r="B287" s="25" t="str">
        <x:v>Plataforma</x:v>
      </x:c>
      <x:c r="C287" s="25" t="str">
        <x:v>Alertas e Notificações</x:v>
      </x:c>
      <x:c r="D287" s="18" t="str">
        <x:v>Fermentação</x:v>
      </x:c>
      <x:c r="E287" s="18" t="str">
        <x:v>Temperatura/pressão</x:v>
      </x:c>
      <x:c r="F287" s="18" t="str">
        <x:v>Alertar limite, persistência e retorno à faixa.</x:v>
      </x:c>
      <x:c r="G287" s="26" t="str">
        <x:v>MVP 2</x:v>
      </x:c>
      <x:c r="H287" s="26" t="str">
        <x:v>Importante</x:v>
      </x:c>
      <x:c r="I287" s="26" t="str">
        <x:v>Todos conforme acesso</x:v>
      </x:c>
    </x:row>
    <x:row r="288" ht="30" customHeight="1">
      <x:c r="A288" s="24" t="str">
        <x:v>ALT.04</x:v>
      </x:c>
      <x:c r="B288" s="25" t="str">
        <x:v>Plataforma</x:v>
      </x:c>
      <x:c r="C288" s="25" t="str">
        <x:v>Alertas e Notificações</x:v>
      </x:c>
      <x:c r="D288" s="18" t="str">
        <x:v>Fermentação</x:v>
      </x:c>
      <x:c r="E288" s="18" t="str">
        <x:v>FG estável</x:v>
      </x:c>
      <x:c r="F288" s="18" t="str">
        <x:v>Notificar quando critério de estabilidade for atendido.</x:v>
      </x:c>
      <x:c r="G288" s="26" t="str">
        <x:v>MVP 2</x:v>
      </x:c>
      <x:c r="H288" s="26" t="str">
        <x:v>Importante</x:v>
      </x:c>
      <x:c r="I288" s="26" t="str">
        <x:v>Todos conforme acesso</x:v>
      </x:c>
    </x:row>
    <x:row r="289" ht="30" customHeight="1">
      <x:c r="A289" s="24" t="str">
        <x:v>ALT.05</x:v>
      </x:c>
      <x:c r="B289" s="25" t="str">
        <x:v>Plataforma</x:v>
      </x:c>
      <x:c r="C289" s="25" t="str">
        <x:v>Alertas e Notificações</x:v>
      </x:c>
      <x:c r="D289" s="18" t="str">
        <x:v>Estoque</x:v>
      </x:c>
      <x:c r="E289" s="18" t="str">
        <x:v>Mínimo e ruptura</x:v>
      </x:c>
      <x:c r="F289" s="18" t="str">
        <x:v>Alertar saldo disponível abaixo do ponto de reposição.</x:v>
      </x:c>
      <x:c r="G289" s="26" t="str">
        <x:v>MVP 2</x:v>
      </x:c>
      <x:c r="H289" s="26" t="str">
        <x:v>Importante</x:v>
      </x:c>
      <x:c r="I289" s="26" t="str">
        <x:v>Todos conforme acesso</x:v>
      </x:c>
    </x:row>
    <x:row r="290" ht="30" customHeight="1">
      <x:c r="A290" s="24" t="str">
        <x:v>ALT.06</x:v>
      </x:c>
      <x:c r="B290" s="25" t="str">
        <x:v>Plataforma</x:v>
      </x:c>
      <x:c r="C290" s="25" t="str">
        <x:v>Alertas e Notificações</x:v>
      </x:c>
      <x:c r="D290" s="18" t="str">
        <x:v>Estoque</x:v>
      </x:c>
      <x:c r="E290" s="18" t="str">
        <x:v>Validade</x:v>
      </x:c>
      <x:c r="F290" s="18" t="str">
        <x:v>Avisar lotes próximos do vencimento por antecedência configurável.</x:v>
      </x:c>
      <x:c r="G290" s="26" t="str">
        <x:v>MVP 2</x:v>
      </x:c>
      <x:c r="H290" s="26" t="str">
        <x:v>Importante</x:v>
      </x:c>
      <x:c r="I290" s="26" t="str">
        <x:v>Todos conforme acesso</x:v>
      </x:c>
    </x:row>
    <x:row r="291" ht="30" customHeight="1">
      <x:c r="A291" s="24" t="str">
        <x:v>ALT.07</x:v>
      </x:c>
      <x:c r="B291" s="25" t="str">
        <x:v>Plataforma</x:v>
      </x:c>
      <x:c r="C291" s="25" t="str">
        <x:v>Alertas e Notificações</x:v>
      </x:c>
      <x:c r="D291" s="18" t="str">
        <x:v>Equipamentos</x:v>
      </x:c>
      <x:c r="E291" s="18" t="str">
        <x:v>Manutenção e calibração</x:v>
      </x:c>
      <x:c r="F291" s="18" t="str">
        <x:v>Avisar vencimento, atraso e bloqueio operacional.</x:v>
      </x:c>
      <x:c r="G291" s="26" t="str">
        <x:v>MVP 2</x:v>
      </x:c>
      <x:c r="H291" s="26" t="str">
        <x:v>Importante</x:v>
      </x:c>
      <x:c r="I291" s="26" t="str">
        <x:v>Todos conforme acesso</x:v>
      </x:c>
    </x:row>
    <x:row r="292" ht="30" customHeight="1">
      <x:c r="A292" s="24" t="str">
        <x:v>ALT.08</x:v>
      </x:c>
      <x:c r="B292" s="25" t="str">
        <x:v>Plataforma</x:v>
      </x:c>
      <x:c r="C292" s="25" t="str">
        <x:v>Alertas e Notificações</x:v>
      </x:c>
      <x:c r="D292" s="18" t="str">
        <x:v>Qualidade</x:v>
      </x:c>
      <x:c r="E292" s="18" t="str">
        <x:v>Desvio pendente</x:v>
      </x:c>
      <x:c r="F292" s="18" t="str">
        <x:v>Escalonar não conformidade sem tratamento ou aprovação.</x:v>
      </x:c>
      <x:c r="G292" s="26" t="str">
        <x:v>MVP 2</x:v>
      </x:c>
      <x:c r="H292" s="26" t="str">
        <x:v>Importante</x:v>
      </x:c>
      <x:c r="I292" s="26" t="str">
        <x:v>Todos conforme acesso</x:v>
      </x:c>
    </x:row>
    <x:row r="293" ht="30" customHeight="1">
      <x:c r="A293" s="24" t="str">
        <x:v>ALT.09</x:v>
      </x:c>
      <x:c r="B293" s="25" t="str">
        <x:v>Plataforma</x:v>
      </x:c>
      <x:c r="C293" s="25" t="str">
        <x:v>Alertas e Notificações</x:v>
      </x:c>
      <x:c r="D293" s="18" t="str">
        <x:v>Canais</x:v>
      </x:c>
      <x:c r="E293" s="18" t="str">
        <x:v>Preferências</x:v>
      </x:c>
      <x:c r="F293" s="18" t="str">
        <x:v>Configurar aplicativo, e-mail, webhook, horário silencioso e frequência.</x:v>
      </x:c>
      <x:c r="G293" s="26" t="str">
        <x:v>MVP 2</x:v>
      </x:c>
      <x:c r="H293" s="26" t="str">
        <x:v>Importante</x:v>
      </x:c>
      <x:c r="I293" s="26" t="str">
        <x:v>Todos conforme acesso</x:v>
      </x:c>
    </x:row>
    <x:row r="294" ht="30" customHeight="1">
      <x:c r="A294" s="24" t="str">
        <x:v>INT.01</x:v>
      </x:c>
      <x:c r="B294" s="25" t="str">
        <x:v>Plataforma</x:v>
      </x:c>
      <x:c r="C294" s="25" t="str">
        <x:v>Integrações e Importações</x:v>
      </x:c>
      <x:c r="D294" s="18" t="str">
        <x:v>Receitas</x:v>
      </x:c>
      <x:c r="E294" s="18" t="str">
        <x:v>BeerXML</x:v>
      </x:c>
      <x:c r="F294" s="18" t="str">
        <x:v>Importar/exportar receitas com relatório de compatibilidade.</x:v>
      </x:c>
      <x:c r="G294" s="26" t="str">
        <x:v>Evolução</x:v>
      </x:c>
      <x:c r="H294" s="26" t="str">
        <x:v>Avançado</x:v>
      </x:c>
      <x:c r="I294" s="26" t="str">
        <x:v>Administrador / Cervejeiro</x:v>
      </x:c>
    </x:row>
    <x:row r="295" ht="30" customHeight="1">
      <x:c r="A295" s="24" t="str">
        <x:v>INT.02</x:v>
      </x:c>
      <x:c r="B295" s="25" t="str">
        <x:v>Plataforma</x:v>
      </x:c>
      <x:c r="C295" s="25" t="str">
        <x:v>Integrações e Importações</x:v>
      </x:c>
      <x:c r="D295" s="18" t="str">
        <x:v>Receitas</x:v>
      </x:c>
      <x:c r="E295" s="18" t="str">
        <x:v>BeerJSON</x:v>
      </x:c>
      <x:c r="F295" s="18" t="str">
        <x:v>Importar/exportar estrutura moderna mantendo extensões próprias.</x:v>
      </x:c>
      <x:c r="G295" s="26" t="str">
        <x:v>Evolução</x:v>
      </x:c>
      <x:c r="H295" s="26" t="str">
        <x:v>Avançado</x:v>
      </x:c>
      <x:c r="I295" s="26" t="str">
        <x:v>Administrador / Cervejeiro</x:v>
      </x:c>
    </x:row>
    <x:row r="296" ht="30" customHeight="1">
      <x:c r="A296" s="24" t="str">
        <x:v>INT.03</x:v>
      </x:c>
      <x:c r="B296" s="25" t="str">
        <x:v>Plataforma</x:v>
      </x:c>
      <x:c r="C296" s="25" t="str">
        <x:v>Integrações e Importações</x:v>
      </x:c>
      <x:c r="D296" s="18" t="str">
        <x:v>Planilhas</x:v>
      </x:c>
      <x:c r="E296" s="18" t="str">
        <x:v>CSV/XLSX</x:v>
      </x:c>
      <x:c r="F296" s="18" t="str">
        <x:v>Importar catálogos, estoque, leituras e custos com validação prévia.</x:v>
      </x:c>
      <x:c r="G296" s="26" t="str">
        <x:v>Evolução</x:v>
      </x:c>
      <x:c r="H296" s="26" t="str">
        <x:v>Avançado</x:v>
      </x:c>
      <x:c r="I296" s="26" t="str">
        <x:v>Administrador / Cervejeiro</x:v>
      </x:c>
    </x:row>
    <x:row r="297" ht="30" customHeight="1">
      <x:c r="A297" s="24" t="str">
        <x:v>INT.04</x:v>
      </x:c>
      <x:c r="B297" s="25" t="str">
        <x:v>Plataforma</x:v>
      </x:c>
      <x:c r="C297" s="25" t="str">
        <x:v>Integrações e Importações</x:v>
      </x:c>
      <x:c r="D297" s="18" t="str">
        <x:v>Sensores</x:v>
      </x:c>
      <x:c r="E297" s="18" t="str">
        <x:v>Densidade/temperatura</x:v>
      </x:c>
      <x:c r="F297" s="18" t="str">
        <x:v>Integrar Tilt, iSpindel ou dispositivo equivalente via adaptador.</x:v>
      </x:c>
      <x:c r="G297" s="26" t="str">
        <x:v>Evolução</x:v>
      </x:c>
      <x:c r="H297" s="26" t="str">
        <x:v>Avançado</x:v>
      </x:c>
      <x:c r="I297" s="26" t="str">
        <x:v>Administrador / Cervejeiro</x:v>
      </x:c>
    </x:row>
    <x:row r="298" ht="30" customHeight="1">
      <x:c r="A298" s="24" t="str">
        <x:v>INT.05</x:v>
      </x:c>
      <x:c r="B298" s="25" t="str">
        <x:v>Plataforma</x:v>
      </x:c>
      <x:c r="C298" s="25" t="str">
        <x:v>Integrações e Importações</x:v>
      </x:c>
      <x:c r="D298" s="18" t="str">
        <x:v>Sensores</x:v>
      </x:c>
      <x:c r="E298" s="18" t="str">
        <x:v>Fermentador</x:v>
      </x:c>
      <x:c r="F298" s="18" t="str">
        <x:v>Receber temperatura, pressão, estado de refrigeração e alarmes.</x:v>
      </x:c>
      <x:c r="G298" s="26" t="str">
        <x:v>Evolução</x:v>
      </x:c>
      <x:c r="H298" s="26" t="str">
        <x:v>Avançado</x:v>
      </x:c>
      <x:c r="I298" s="26" t="str">
        <x:v>Administrador / Cervejeiro</x:v>
      </x:c>
    </x:row>
    <x:row r="299" ht="30" customHeight="1">
      <x:c r="A299" s="24" t="str">
        <x:v>INT.06</x:v>
      </x:c>
      <x:c r="B299" s="25" t="str">
        <x:v>Plataforma</x:v>
      </x:c>
      <x:c r="C299" s="25" t="str">
        <x:v>Integrações e Importações</x:v>
      </x:c>
      <x:c r="D299" s="18" t="str">
        <x:v>Instrumentos</x:v>
      </x:c>
      <x:c r="E299" s="18" t="str">
        <x:v>Medidor de vazão</x:v>
      </x:c>
      <x:c r="F299" s="18" t="str">
        <x:v>Receber volume instantâneo/acumulado da transferência.</x:v>
      </x:c>
      <x:c r="G299" s="26" t="str">
        <x:v>Evolução</x:v>
      </x:c>
      <x:c r="H299" s="26" t="str">
        <x:v>Avançado</x:v>
      </x:c>
      <x:c r="I299" s="26" t="str">
        <x:v>Administrador / Cervejeiro</x:v>
      </x:c>
    </x:row>
    <x:row r="300" ht="30" customHeight="1">
      <x:c r="A300" s="24" t="str">
        <x:v>INT.07</x:v>
      </x:c>
      <x:c r="B300" s="25" t="str">
        <x:v>Plataforma</x:v>
      </x:c>
      <x:c r="C300" s="25" t="str">
        <x:v>Integrações e Importações</x:v>
      </x:c>
      <x:c r="D300" s="18" t="str">
        <x:v>Instrumentos</x:v>
      </x:c>
      <x:c r="E300" s="18" t="str">
        <x:v>Balança</x:v>
      </x:c>
      <x:c r="F300" s="18" t="str">
        <x:v>Receber tara/peso para dosagem, consumo ou envase.</x:v>
      </x:c>
      <x:c r="G300" s="26" t="str">
        <x:v>Evolução</x:v>
      </x:c>
      <x:c r="H300" s="26" t="str">
        <x:v>Avançado</x:v>
      </x:c>
      <x:c r="I300" s="26" t="str">
        <x:v>Administrador / Cervejeiro</x:v>
      </x:c>
    </x:row>
    <x:row r="301" ht="30" customHeight="1">
      <x:c r="A301" s="24" t="str">
        <x:v>INT.08</x:v>
      </x:c>
      <x:c r="B301" s="25" t="str">
        <x:v>Plataforma</x:v>
      </x:c>
      <x:c r="C301" s="25" t="str">
        <x:v>Integrações e Importações</x:v>
      </x:c>
      <x:c r="D301" s="18" t="str">
        <x:v>Calendário</x:v>
      </x:c>
      <x:c r="E301" s="18" t="str">
        <x:v>Agenda externa</x:v>
      </x:c>
      <x:c r="F301" s="18" t="str">
        <x:v>Publicar brassagens, medições e envases em calendário.</x:v>
      </x:c>
      <x:c r="G301" s="26" t="str">
        <x:v>Evolução</x:v>
      </x:c>
      <x:c r="H301" s="26" t="str">
        <x:v>Avançado</x:v>
      </x:c>
      <x:c r="I301" s="26" t="str">
        <x:v>Administrador / Cervejeiro</x:v>
      </x:c>
    </x:row>
    <x:row r="302" ht="30" customHeight="1">
      <x:c r="A302" s="24" t="str">
        <x:v>INT.09</x:v>
      </x:c>
      <x:c r="B302" s="25" t="str">
        <x:v>Plataforma</x:v>
      </x:c>
      <x:c r="C302" s="25" t="str">
        <x:v>Integrações e Importações</x:v>
      </x:c>
      <x:c r="D302" s="18" t="str">
        <x:v>Mensageria</x:v>
      </x:c>
      <x:c r="E302" s="18" t="str">
        <x:v>Webhooks</x:v>
      </x:c>
      <x:c r="F302" s="18" t="str">
        <x:v>Enviar eventos assinados com retry, idempotência e log de entrega.</x:v>
      </x:c>
      <x:c r="G302" s="26" t="str">
        <x:v>Evolução</x:v>
      </x:c>
      <x:c r="H302" s="26" t="str">
        <x:v>Avançado</x:v>
      </x:c>
      <x:c r="I302" s="26" t="str">
        <x:v>Administrador / Cervejeiro</x:v>
      </x:c>
    </x:row>
    <x:row r="303" ht="30" customHeight="1">
      <x:c r="A303" s="24" t="str">
        <x:v>INT.10</x:v>
      </x:c>
      <x:c r="B303" s="25" t="str">
        <x:v>Plataforma</x:v>
      </x:c>
      <x:c r="C303" s="25" t="str">
        <x:v>Integrações e Importações</x:v>
      </x:c>
      <x:c r="D303" s="18" t="str">
        <x:v>API</x:v>
      </x:c>
      <x:c r="E303" s="18" t="str">
        <x:v>OpenAPI pública</x:v>
      </x:c>
      <x:c r="F303" s="18" t="str">
        <x:v>Expor endpoints versionados com escopos e limite de uso.</x:v>
      </x:c>
      <x:c r="G303" s="26" t="str">
        <x:v>Evolução</x:v>
      </x:c>
      <x:c r="H303" s="26" t="str">
        <x:v>Avançado</x:v>
      </x:c>
      <x:c r="I303" s="26" t="str">
        <x:v>Administrador / Cervejeiro</x:v>
      </x:c>
    </x:row>
    <x:row r="304" ht="30" customHeight="1">
      <x:c r="A304" s="24" t="str">
        <x:v>INT.11</x:v>
      </x:c>
      <x:c r="B304" s="25" t="str">
        <x:v>Plataforma</x:v>
      </x:c>
      <x:c r="C304" s="25" t="str">
        <x:v>Integrações e Importações</x:v>
      </x:c>
      <x:c r="D304" s="18" t="str">
        <x:v>Automação</x:v>
      </x:c>
      <x:c r="E304" s="18" t="str">
        <x:v>MQTT/filas</x:v>
      </x:c>
      <x:c r="F304" s="18" t="str">
        <x:v>Consumir telemetria e publicar eventos sem acoplar o domínio.</x:v>
      </x:c>
      <x:c r="G304" s="26" t="str">
        <x:v>Evolução</x:v>
      </x:c>
      <x:c r="H304" s="26" t="str">
        <x:v>Avançado</x:v>
      </x:c>
      <x:c r="I304" s="26" t="str">
        <x:v>Administrador / Cervejeiro</x:v>
      </x:c>
    </x:row>
    <x:row r="305" ht="30" customHeight="1">
      <x:c r="A305" s="24" t="str">
        <x:v>INT.12</x:v>
      </x:c>
      <x:c r="B305" s="25" t="str">
        <x:v>Plataforma</x:v>
      </x:c>
      <x:c r="C305" s="25" t="str">
        <x:v>Integrações e Importações</x:v>
      </x:c>
      <x:c r="D305" s="18" t="str">
        <x:v>Backup</x:v>
      </x:c>
      <x:c r="E305" s="18" t="str">
        <x:v>Exportação integral</x:v>
      </x:c>
      <x:c r="F305" s="18" t="str">
        <x:v>Gerar pacote de dados, anexos e metadados para portabilidade.</x:v>
      </x:c>
      <x:c r="G305" s="26" t="str">
        <x:v>Evolução</x:v>
      </x:c>
      <x:c r="H305" s="26" t="str">
        <x:v>Avançado</x:v>
      </x:c>
      <x:c r="I305" s="26" t="str">
        <x:v>Administrador / Cervejeiro</x:v>
      </x:c>
    </x:row>
    <x:row r="306" ht="30" customHeight="1">
      <x:c r="A306" s="24" t="str">
        <x:v>ADM.01</x:v>
      </x:c>
      <x:c r="B306" s="25" t="str">
        <x:v>Plataforma</x:v>
      </x:c>
      <x:c r="C306" s="25" t="str">
        <x:v>Auditoria e Administração</x:v>
      </x:c>
      <x:c r="D306" s="18" t="str">
        <x:v>Auditoria</x:v>
      </x:c>
      <x:c r="E306" s="18" t="str">
        <x:v>Eventos append-only</x:v>
      </x:c>
      <x:c r="F306" s="18" t="str">
        <x:v>Registrar quem, quando, origem, entidade, ação e antes/depois permitido.</x:v>
      </x:c>
      <x:c r="G306" s="26" t="str">
        <x:v>MVP 1</x:v>
      </x:c>
      <x:c r="H306" s="26" t="str">
        <x:v>Essencial</x:v>
      </x:c>
      <x:c r="I306" s="26" t="str">
        <x:v>Administrador / Auditor</x:v>
      </x:c>
    </x:row>
    <x:row r="307" ht="30" customHeight="1">
      <x:c r="A307" s="24" t="str">
        <x:v>ADM.02</x:v>
      </x:c>
      <x:c r="B307" s="25" t="str">
        <x:v>Plataforma</x:v>
      </x:c>
      <x:c r="C307" s="25" t="str">
        <x:v>Auditoria e Administração</x:v>
      </x:c>
      <x:c r="D307" s="18" t="str">
        <x:v>Auditoria</x:v>
      </x:c>
      <x:c r="E307" s="18" t="str">
        <x:v>Consulta de histórico</x:v>
      </x:c>
      <x:c r="F307" s="18" t="str">
        <x:v>Filtrar por usuário, módulo, entidade, lote, período e ação.</x:v>
      </x:c>
      <x:c r="G307" s="26" t="str">
        <x:v>MVP 1</x:v>
      </x:c>
      <x:c r="H307" s="26" t="str">
        <x:v>Essencial</x:v>
      </x:c>
      <x:c r="I307" s="26" t="str">
        <x:v>Administrador / Auditor</x:v>
      </x:c>
    </x:row>
    <x:row r="308" ht="30" customHeight="1">
      <x:c r="A308" s="24" t="str">
        <x:v>ADM.03</x:v>
      </x:c>
      <x:c r="B308" s="25" t="str">
        <x:v>Plataforma</x:v>
      </x:c>
      <x:c r="C308" s="25" t="str">
        <x:v>Auditoria e Administração</x:v>
      </x:c>
      <x:c r="D308" s="18" t="str">
        <x:v>Justificativas</x:v>
      </x:c>
      <x:c r="E308" s="18" t="str">
        <x:v>Ações sensíveis</x:v>
      </x:c>
      <x:c r="F308" s="18" t="str">
        <x:v>Exigir motivo para reabrir lote, ajustar estoque, cancelar e liberar exceção.</x:v>
      </x:c>
      <x:c r="G308" s="26" t="str">
        <x:v>MVP 1</x:v>
      </x:c>
      <x:c r="H308" s="26" t="str">
        <x:v>Essencial</x:v>
      </x:c>
      <x:c r="I308" s="26" t="str">
        <x:v>Administrador / Auditor</x:v>
      </x:c>
    </x:row>
    <x:row r="309" ht="30" customHeight="1">
      <x:c r="A309" s="24" t="str">
        <x:v>ADM.04</x:v>
      </x:c>
      <x:c r="B309" s="25" t="str">
        <x:v>Plataforma</x:v>
      </x:c>
      <x:c r="C309" s="25" t="str">
        <x:v>Auditoria e Administração</x:v>
      </x:c>
      <x:c r="D309" s="18" t="str">
        <x:v>Configuração</x:v>
      </x:c>
      <x:c r="E309" s="18" t="str">
        <x:v>Parâmetros do sistema</x:v>
      </x:c>
      <x:c r="F309" s="18" t="str">
        <x:v>Manter limites, enums, motivos, templates e flags por cervejaria.</x:v>
      </x:c>
      <x:c r="G309" s="26" t="str">
        <x:v>MVP 1</x:v>
      </x:c>
      <x:c r="H309" s="26" t="str">
        <x:v>Essencial</x:v>
      </x:c>
      <x:c r="I309" s="26" t="str">
        <x:v>Administrador / Auditor</x:v>
      </x:c>
    </x:row>
    <x:row r="310" ht="30" customHeight="1">
      <x:c r="A310" s="24" t="str">
        <x:v>ADM.05</x:v>
      </x:c>
      <x:c r="B310" s="25" t="str">
        <x:v>Plataforma</x:v>
      </x:c>
      <x:c r="C310" s="25" t="str">
        <x:v>Auditoria e Administração</x:v>
      </x:c>
      <x:c r="D310" s="18" t="str">
        <x:v>Jobs</x:v>
      </x:c>
      <x:c r="E310" s="18" t="str">
        <x:v>Processamentos</x:v>
      </x:c>
      <x:c r="F310" s="18" t="str">
        <x:v>Acompanhar importações, relatórios, notificações e reindexação da IA.</x:v>
      </x:c>
      <x:c r="G310" s="26" t="str">
        <x:v>MVP 1</x:v>
      </x:c>
      <x:c r="H310" s="26" t="str">
        <x:v>Essencial</x:v>
      </x:c>
      <x:c r="I310" s="26" t="str">
        <x:v>Administrador / Auditor</x:v>
      </x:c>
    </x:row>
    <x:row r="311" ht="30" customHeight="1">
      <x:c r="A311" s="24" t="str">
        <x:v>ADM.06</x:v>
      </x:c>
      <x:c r="B311" s="25" t="str">
        <x:v>Plataforma</x:v>
      </x:c>
      <x:c r="C311" s="25" t="str">
        <x:v>Auditoria e Administração</x:v>
      </x:c>
      <x:c r="D311" s="18" t="str">
        <x:v>Observabilidade</x:v>
      </x:c>
      <x:c r="E311" s="18" t="str">
        <x:v>Saúde e métricas</x:v>
      </x:c>
      <x:c r="F311" s="18" t="str">
        <x:v>Exibir integrações, filas, erros, latência e uso de armazenamento.</x:v>
      </x:c>
      <x:c r="G311" s="26" t="str">
        <x:v>MVP 1</x:v>
      </x:c>
      <x:c r="H311" s="26" t="str">
        <x:v>Essencial</x:v>
      </x:c>
      <x:c r="I311" s="26" t="str">
        <x:v>Administrador / Auditor</x:v>
      </x:c>
    </x:row>
    <x:row r="312" ht="30" customHeight="1">
      <x:c r="A312" s="24" t="str">
        <x:v>ADM.07</x:v>
      </x:c>
      <x:c r="B312" s="25" t="str">
        <x:v>Plataforma</x:v>
      </x:c>
      <x:c r="C312" s="25" t="str">
        <x:v>Auditoria e Administração</x:v>
      </x:c>
      <x:c r="D312" s="18" t="str">
        <x:v>Backups</x:v>
      </x:c>
      <x:c r="E312" s="18" t="str">
        <x:v>Política e restauração</x:v>
      </x:c>
      <x:c r="F312" s="18" t="str">
        <x:v>Configurar retenção, testar recuperação e registrar evidência.</x:v>
      </x:c>
      <x:c r="G312" s="26" t="str">
        <x:v>MVP 1</x:v>
      </x:c>
      <x:c r="H312" s="26" t="str">
        <x:v>Essencial</x:v>
      </x:c>
      <x:c r="I312" s="26" t="str">
        <x:v>Administrador / Auditor</x:v>
      </x:c>
    </x:row>
    <x:row r="313" ht="30" customHeight="1">
      <x:c r="A313" s="24" t="str">
        <x:v>ADM.08</x:v>
      </x:c>
      <x:c r="B313" s="25" t="str">
        <x:v>Plataforma</x:v>
      </x:c>
      <x:c r="C313" s="25" t="str">
        <x:v>Auditoria e Administração</x:v>
      </x:c>
      <x:c r="D313" s="18" t="str">
        <x:v>Privacidade</x:v>
      </x:c>
      <x:c r="E313" s="18" t="str">
        <x:v>Exportar/anonimizar</x:v>
      </x:c>
      <x:c r="F313" s="18" t="str">
        <x:v>Atender retenção, anonimização e acesso aos dados autorizados.</x:v>
      </x:c>
      <x:c r="G313" s="26" t="str">
        <x:v>MVP 1</x:v>
      </x:c>
      <x:c r="H313" s="26" t="str">
        <x:v>Essencial</x:v>
      </x:c>
      <x:c r="I313" s="26" t="str">
        <x:v>Administrador / Auditor</x:v>
      </x:c>
    </x:row>
    <x:row r="314" ht="30" customHeight="1">
      <x:c r="A314" s="24" t="str">
        <x:v>ADM.09</x:v>
      </x:c>
      <x:c r="B314" s="25" t="str">
        <x:v>Plataforma</x:v>
      </x:c>
      <x:c r="C314" s="25" t="str">
        <x:v>Auditoria e Administração</x:v>
      </x:c>
      <x:c r="D314" s="18" t="str">
        <x:v>Feature flags</x:v>
      </x:c>
      <x:c r="E314" s="18" t="str">
        <x:v>Liberação gradual</x:v>
      </x:c>
      <x:c r="F314" s="18" t="str">
        <x:v>Ativar funções por ambiente ou cervejaria com histórico.</x:v>
      </x:c>
      <x:c r="G314" s="26" t="str">
        <x:v>MVP 1</x:v>
      </x:c>
      <x:c r="H314" s="26" t="str">
        <x:v>Essencial</x:v>
      </x:c>
      <x:c r="I314" s="26" t="str">
        <x:v>Administrador / Auditor</x:v>
      </x:c>
    </x:row>
    <x:row r="315" ht="30" customHeight="1">
      <x:c r="A315" s="24" t="str">
        <x:v>ADM.10</x:v>
      </x:c>
      <x:c r="B315" s="25" t="str">
        <x:v>Plataforma</x:v>
      </x:c>
      <x:c r="C315" s="25" t="str">
        <x:v>Auditoria e Administração</x:v>
      </x:c>
      <x:c r="D315" s="18" t="str">
        <x:v>Suporte</x:v>
      </x:c>
      <x:c r="E315" s="18" t="str">
        <x:v>Diagnóstico seguro</x:v>
      </x:c>
      <x:c r="F315" s="18" t="str">
        <x:v>Gerar pacote técnico sem expor segredos ou dados não autorizados.</x:v>
      </x:c>
      <x:c r="G315" s="26" t="str">
        <x:v>MVP 1</x:v>
      </x:c>
      <x:c r="H315" s="26" t="str">
        <x:v>Essencial</x:v>
      </x:c>
      <x:c r="I315" s="26" t="str">
        <x:v>Administrador / Auditor</x:v>
      </x:c>
    </x:row>
    <x:row r="316" ht="30" customHeight="1">
      <x:c r="A316" s="24" t="str">
        <x:v>PWA.01</x:v>
      </x:c>
      <x:c r="B316" s="25" t="str">
        <x:v>Plataforma</x:v>
      </x:c>
      <x:c r="C316" s="25" t="str">
        <x:v>PWA e Experiência de Produção</x:v>
      </x:c>
      <x:c r="D316" s="18" t="str">
        <x:v>Responsividade</x:v>
      </x:c>
      <x:c r="E316" s="18" t="str">
        <x:v>Celular, tablet e desktop</x:v>
      </x:c>
      <x:c r="F316" s="18" t="str">
        <x:v>Adaptar telas, tabelas, cronômetros e ações ao dispositivo.</x:v>
      </x:c>
      <x:c r="G316" s="26" t="str">
        <x:v>Evolução</x:v>
      </x:c>
      <x:c r="H316" s="26" t="str">
        <x:v>Importante</x:v>
      </x:c>
      <x:c r="I316" s="26" t="str">
        <x:v>Produção / Cervejeiro</x:v>
      </x:c>
    </x:row>
    <x:row r="317" ht="30" customHeight="1">
      <x:c r="A317" s="24" t="str">
        <x:v>PWA.02</x:v>
      </x:c>
      <x:c r="B317" s="25" t="str">
        <x:v>Plataforma</x:v>
      </x:c>
      <x:c r="C317" s="25" t="str">
        <x:v>PWA e Experiência de Produção</x:v>
      </x:c>
      <x:c r="D317" s="18" t="str">
        <x:v>Modo produção</x:v>
      </x:c>
      <x:c r="E317" s="18" t="str">
        <x:v>Interface de alto contraste</x:v>
      </x:c>
      <x:c r="F317" s="18" t="str">
        <x:v>Botões grandes, leitura à distância e operação com luvas.</x:v>
      </x:c>
      <x:c r="G317" s="26" t="str">
        <x:v>Evolução</x:v>
      </x:c>
      <x:c r="H317" s="26" t="str">
        <x:v>Importante</x:v>
      </x:c>
      <x:c r="I317" s="26" t="str">
        <x:v>Produção / Cervejeiro</x:v>
      </x:c>
    </x:row>
    <x:row r="318" ht="30" customHeight="1">
      <x:c r="A318" s="24" t="str">
        <x:v>PWA.03</x:v>
      </x:c>
      <x:c r="B318" s="25" t="str">
        <x:v>Plataforma</x:v>
      </x:c>
      <x:c r="C318" s="25" t="str">
        <x:v>PWA e Experiência de Produção</x:v>
      </x:c>
      <x:c r="D318" s="18" t="str">
        <x:v>Offline</x:v>
      </x:c>
      <x:c r="E318" s="18" t="str">
        <x:v>Cache do roteiro</x:v>
      </x:c>
      <x:c r="F318" s="18" t="str">
        <x:v>Manter OP, etapas, checklist e dados essenciais sem conexão.</x:v>
      </x:c>
      <x:c r="G318" s="26" t="str">
        <x:v>Evolução</x:v>
      </x:c>
      <x:c r="H318" s="26" t="str">
        <x:v>Importante</x:v>
      </x:c>
      <x:c r="I318" s="26" t="str">
        <x:v>Produção / Cervejeiro</x:v>
      </x:c>
    </x:row>
    <x:row r="319" ht="30" customHeight="1">
      <x:c r="A319" s="24" t="str">
        <x:v>PWA.04</x:v>
      </x:c>
      <x:c r="B319" s="25" t="str">
        <x:v>Plataforma</x:v>
      </x:c>
      <x:c r="C319" s="25" t="str">
        <x:v>PWA e Experiência de Produção</x:v>
      </x:c>
      <x:c r="D319" s="18" t="str">
        <x:v>Offline</x:v>
      </x:c>
      <x:c r="E319" s="18" t="str">
        <x:v>Fila de apontamentos</x:v>
      </x:c>
      <x:c r="F319" s="18" t="str">
        <x:v>Guardar medições/comandos e sincronizar com idempotência.</x:v>
      </x:c>
      <x:c r="G319" s="26" t="str">
        <x:v>Evolução</x:v>
      </x:c>
      <x:c r="H319" s="26" t="str">
        <x:v>Importante</x:v>
      </x:c>
      <x:c r="I319" s="26" t="str">
        <x:v>Produção / Cervejeiro</x:v>
      </x:c>
    </x:row>
    <x:row r="320" ht="30" customHeight="1">
      <x:c r="A320" s="24" t="str">
        <x:v>PWA.05</x:v>
      </x:c>
      <x:c r="B320" s="25" t="str">
        <x:v>Plataforma</x:v>
      </x:c>
      <x:c r="C320" s="25" t="str">
        <x:v>PWA e Experiência de Produção</x:v>
      </x:c>
      <x:c r="D320" s="18" t="str">
        <x:v>Conflitos</x:v>
      </x:c>
      <x:c r="E320" s="18" t="str">
        <x:v>Resolução de sincronização</x:v>
      </x:c>
      <x:c r="F320" s="18" t="str">
        <x:v>Bloquear sobrescrita silenciosa e pedir escolha quando necessário.</x:v>
      </x:c>
      <x:c r="G320" s="26" t="str">
        <x:v>Evolução</x:v>
      </x:c>
      <x:c r="H320" s="26" t="str">
        <x:v>Importante</x:v>
      </x:c>
      <x:c r="I320" s="26" t="str">
        <x:v>Produção / Cervejeiro</x:v>
      </x:c>
    </x:row>
    <x:row r="321" ht="30" customHeight="1">
      <x:c r="A321" s="24" t="str">
        <x:v>PWA.06</x:v>
      </x:c>
      <x:c r="B321" s="25" t="str">
        <x:v>Plataforma</x:v>
      </x:c>
      <x:c r="C321" s="25" t="str">
        <x:v>PWA e Experiência de Produção</x:v>
      </x:c>
      <x:c r="D321" s="18" t="str">
        <x:v>Captura</x:v>
      </x:c>
      <x:c r="E321" s="18" t="str">
        <x:v>Câmera e anexos</x:v>
      </x:c>
      <x:c r="F321" s="18" t="str">
        <x:v>Fotografar medição, etiqueta, defeito ou equipamento a partir do dispositivo.</x:v>
      </x:c>
      <x:c r="G321" s="26" t="str">
        <x:v>Evolução</x:v>
      </x:c>
      <x:c r="H321" s="26" t="str">
        <x:v>Importante</x:v>
      </x:c>
      <x:c r="I321" s="26" t="str">
        <x:v>Produção / Cervejeiro</x:v>
      </x:c>
    </x:row>
    <x:row r="322" ht="30" customHeight="1">
      <x:c r="A322" s="24" t="str">
        <x:v>PWA.07</x:v>
      </x:c>
      <x:c r="B322" s="25" t="str">
        <x:v>Plataforma</x:v>
      </x:c>
      <x:c r="C322" s="25" t="str">
        <x:v>PWA e Experiência de Produção</x:v>
      </x:c>
      <x:c r="D322" s="18" t="str">
        <x:v>Leitura</x:v>
      </x:c>
      <x:c r="E322" s="18" t="str">
        <x:v>QR code</x:v>
      </x:c>
      <x:c r="F322" s="18" t="str">
        <x:v>Abrir OP, lote, ingrediente, equipamento ou embalagem pelo código.</x:v>
      </x:c>
      <x:c r="G322" s="26" t="str">
        <x:v>Evolução</x:v>
      </x:c>
      <x:c r="H322" s="26" t="str">
        <x:v>Importante</x:v>
      </x:c>
      <x:c r="I322" s="26" t="str">
        <x:v>Produção / Cervejeiro</x:v>
      </x:c>
    </x:row>
    <x:row r="323" ht="30" customHeight="1">
      <x:c r="A323" s="24" t="str">
        <x:v>PWA.08</x:v>
      </x:c>
      <x:c r="B323" s="25" t="str">
        <x:v>Plataforma</x:v>
      </x:c>
      <x:c r="C323" s="25" t="str">
        <x:v>PWA e Experiência de Produção</x:v>
      </x:c>
      <x:c r="D323" s="18" t="str">
        <x:v>Acessibilidade</x:v>
      </x:c>
      <x:c r="E323" s="18" t="str">
        <x:v>Teclado e leitores</x:v>
      </x:c>
      <x:c r="F323" s="18" t="str">
        <x:v>Atender contraste, foco, rótulos, navegação e avisos não apenas por cor.</x:v>
      </x:c>
      <x:c r="G323" s="26" t="str">
        <x:v>Evolução</x:v>
      </x:c>
      <x:c r="H323" s="26" t="str">
        <x:v>Importante</x:v>
      </x:c>
      <x:c r="I323" s="26" t="str">
        <x:v>Produção / Cervejeiro</x:v>
      </x:c>
    </x:row>
    <x:row r="324" ht="30" customHeight="1">
      <x:c r="A324" s="24" t="str">
        <x:v>YST.01</x:v>
      </x:c>
      <x:c r="B324" s="25" t="str">
        <x:v>Produção</x:v>
      </x:c>
      <x:c r="C324" s="25" t="str">
        <x:v>Banco e Reutilização de Levedura</x:v>
      </x:c>
      <x:c r="D324" s="18" t="str">
        <x:v>Linhagem</x:v>
      </x:c>
      <x:c r="E324" s="18" t="str">
        <x:v>Árvore de gerações</x:v>
      </x:c>
      <x:c r="F324" s="18" t="str">
        <x:v>Rastrear cultura original, propagação, coleta, reutilização e lotes fermentados.</x:v>
      </x:c>
      <x:c r="G324" s="26" t="str">
        <x:v>Evolução</x:v>
      </x:c>
      <x:c r="H324" s="26" t="str">
        <x:v>Importante</x:v>
      </x:c>
      <x:c r="I324" s="26" t="str">
        <x:v>Cervejeiro / Qualidade</x:v>
      </x:c>
    </x:row>
    <x:row r="325" ht="30" customHeight="1">
      <x:c r="A325" s="24" t="str">
        <x:v>YST.02</x:v>
      </x:c>
      <x:c r="B325" s="25" t="str">
        <x:v>Produção</x:v>
      </x:c>
      <x:c r="C325" s="25" t="str">
        <x:v>Banco e Reutilização de Levedura</x:v>
      </x:c>
      <x:c r="D325" s="18" t="str">
        <x:v>Coleta</x:v>
      </x:c>
      <x:c r="E325" s="18" t="str">
        <x:v>Origem da lama</x:v>
      </x:c>
      <x:c r="F325" s="18" t="str">
        <x:v>Registrar fermentador, cone, momento da coleta, volume, aparência e temperatura.</x:v>
      </x:c>
      <x:c r="G325" s="26" t="str">
        <x:v>Evolução</x:v>
      </x:c>
      <x:c r="H325" s="26" t="str">
        <x:v>Importante</x:v>
      </x:c>
      <x:c r="I325" s="26" t="str">
        <x:v>Cervejeiro / Qualidade</x:v>
      </x:c>
    </x:row>
    <x:row r="326" ht="30" customHeight="1">
      <x:c r="A326" s="24" t="str">
        <x:v>YST.03</x:v>
      </x:c>
      <x:c r="B326" s="25" t="str">
        <x:v>Produção</x:v>
      </x:c>
      <x:c r="C326" s="25" t="str">
        <x:v>Banco e Reutilização de Levedura</x:v>
      </x:c>
      <x:c r="D326" s="18" t="str">
        <x:v>Qualidade</x:v>
      </x:c>
      <x:c r="E326" s="18" t="str">
        <x:v>Viabilidade e vitalidade</x:v>
      </x:c>
      <x:c r="F326" s="18" t="str">
        <x:v>Registrar método, percentual, contagem celular, data e confiança da medição.</x:v>
      </x:c>
      <x:c r="G326" s="26" t="str">
        <x:v>Evolução</x:v>
      </x:c>
      <x:c r="H326" s="26" t="str">
        <x:v>Importante</x:v>
      </x:c>
      <x:c r="I326" s="26" t="str">
        <x:v>Cervejeiro / Qualidade</x:v>
      </x:c>
    </x:row>
    <x:row r="327" ht="30" customHeight="1">
      <x:c r="A327" s="24" t="str">
        <x:v>YST.04</x:v>
      </x:c>
      <x:c r="B327" s="25" t="str">
        <x:v>Produção</x:v>
      </x:c>
      <x:c r="C327" s="25" t="str">
        <x:v>Banco e Reutilização de Levedura</x:v>
      </x:c>
      <x:c r="D327" s="18" t="str">
        <x:v>Qualidade</x:v>
      </x:c>
      <x:c r="E327" s="18" t="str">
        <x:v>Contaminação</x:v>
      </x:c>
      <x:c r="F327" s="18" t="str">
        <x:v>Registrar microscopia, placas, PCR quando disponível e decisão de uso ou descarte.</x:v>
      </x:c>
      <x:c r="G327" s="26" t="str">
        <x:v>Evolução</x:v>
      </x:c>
      <x:c r="H327" s="26" t="str">
        <x:v>Importante</x:v>
      </x:c>
      <x:c r="I327" s="26" t="str">
        <x:v>Cervejeiro / Qualidade</x:v>
      </x:c>
    </x:row>
    <x:row r="328" ht="30" customHeight="1">
      <x:c r="A328" s="24" t="str">
        <x:v>YST.05</x:v>
      </x:c>
      <x:c r="B328" s="25" t="str">
        <x:v>Produção</x:v>
      </x:c>
      <x:c r="C328" s="25" t="str">
        <x:v>Banco e Reutilização de Levedura</x:v>
      </x:c>
      <x:c r="D328" s="18" t="str">
        <x:v>Armazenamento</x:v>
      </x:c>
      <x:c r="E328" s="18" t="str">
        <x:v>Condições da cultura</x:v>
      </x:c>
      <x:c r="F328" s="18" t="str">
        <x:v>Controlar recipiente, temperatura, pressão, tempo e agitação.</x:v>
      </x:c>
      <x:c r="G328" s="26" t="str">
        <x:v>Evolução</x:v>
      </x:c>
      <x:c r="H328" s="26" t="str">
        <x:v>Importante</x:v>
      </x:c>
      <x:c r="I328" s="26" t="str">
        <x:v>Cervejeiro / Qualidade</x:v>
      </x:c>
    </x:row>
    <x:row r="329" ht="30" customHeight="1">
      <x:c r="A329" s="24" t="str">
        <x:v>YST.06</x:v>
      </x:c>
      <x:c r="B329" s="25" t="str">
        <x:v>Produção</x:v>
      </x:c>
      <x:c r="C329" s="25" t="str">
        <x:v>Banco e Reutilização de Levedura</x:v>
      </x:c>
      <x:c r="D329" s="18" t="str">
        <x:v>Pitch</x:v>
      </x:c>
      <x:c r="E329" s="18" t="str">
        <x:v>Células necessárias</x:v>
      </x:c>
      <x:c r="F329" s="18" t="str">
        <x:v>Calcular pitch rate usando volume, densidade, estilo, viabilidade e pressão.</x:v>
      </x:c>
      <x:c r="G329" s="26" t="str">
        <x:v>Evolução</x:v>
      </x:c>
      <x:c r="H329" s="26" t="str">
        <x:v>Importante</x:v>
      </x:c>
      <x:c r="I329" s="26" t="str">
        <x:v>Cervejeiro / Qualidade</x:v>
      </x:c>
    </x:row>
    <x:row r="330" ht="30" customHeight="1">
      <x:c r="A330" s="24" t="str">
        <x:v>YST.07</x:v>
      </x:c>
      <x:c r="B330" s="25" t="str">
        <x:v>Produção</x:v>
      </x:c>
      <x:c r="C330" s="25" t="str">
        <x:v>Banco e Reutilização de Levedura</x:v>
      </x:c>
      <x:c r="D330" s="18" t="str">
        <x:v>Starter</x:v>
      </x:c>
      <x:c r="E330" s="18" t="str">
        <x:v>Propagação</x:v>
      </x:c>
      <x:c r="F330" s="18" t="str">
        <x:v>Planejar etapas, volume, extrato, oxigenação e crescimento esperado.</x:v>
      </x:c>
      <x:c r="G330" s="26" t="str">
        <x:v>Evolução</x:v>
      </x:c>
      <x:c r="H330" s="26" t="str">
        <x:v>Importante</x:v>
      </x:c>
      <x:c r="I330" s="26" t="str">
        <x:v>Cervejeiro / Qualidade</x:v>
      </x:c>
    </x:row>
    <x:row r="331" ht="30" customHeight="1">
      <x:c r="A331" s="24" t="str">
        <x:v>YST.08</x:v>
      </x:c>
      <x:c r="B331" s="25" t="str">
        <x:v>Produção</x:v>
      </x:c>
      <x:c r="C331" s="25" t="str">
        <x:v>Banco e Reutilização de Levedura</x:v>
      </x:c>
      <x:c r="D331" s="18" t="str">
        <x:v>Desempenho</x:v>
      </x:c>
      <x:c r="E331" s="18" t="str">
        <x:v>Fermentações anteriores</x:v>
      </x:c>
      <x:c r="F331" s="18" t="str">
        <x:v>Comparar lag, atenuação, velocidade, pH, floculação e perfil sensorial.</x:v>
      </x:c>
      <x:c r="G331" s="26" t="str">
        <x:v>Evolução</x:v>
      </x:c>
      <x:c r="H331" s="26" t="str">
        <x:v>Importante</x:v>
      </x:c>
      <x:c r="I331" s="26" t="str">
        <x:v>Cervejeiro / Qualidade</x:v>
      </x:c>
    </x:row>
    <x:row r="332" ht="30" customHeight="1">
      <x:c r="A332" s="24" t="str">
        <x:v>YST.09</x:v>
      </x:c>
      <x:c r="B332" s="25" t="str">
        <x:v>Produção</x:v>
      </x:c>
      <x:c r="C332" s="25" t="str">
        <x:v>Banco e Reutilização de Levedura</x:v>
      </x:c>
      <x:c r="D332" s="18" t="str">
        <x:v>Dry hop</x:v>
      </x:c>
      <x:c r="E332" s="18" t="str">
        <x:v>Impacto no reaproveitamento</x:v>
      </x:c>
      <x:c r="F332" s="18" t="str">
        <x:v>Relacionar contato com lúpulo, hop creep e desempenho da geração seguinte.</x:v>
      </x:c>
      <x:c r="G332" s="26" t="str">
        <x:v>Evolução</x:v>
      </x:c>
      <x:c r="H332" s="26" t="str">
        <x:v>Importante</x:v>
      </x:c>
      <x:c r="I332" s="26" t="str">
        <x:v>Cervejeiro / Qualidade</x:v>
      </x:c>
    </x:row>
    <x:row r="333" ht="30" customHeight="1">
      <x:c r="A333" s="24" t="str">
        <x:v>YST.10</x:v>
      </x:c>
      <x:c r="B333" s="25" t="str">
        <x:v>Produção</x:v>
      </x:c>
      <x:c r="C333" s="25" t="str">
        <x:v>Banco e Reutilização de Levedura</x:v>
      </x:c>
      <x:c r="D333" s="18" t="str">
        <x:v>Limites</x:v>
      </x:c>
      <x:c r="E333" s="18" t="str">
        <x:v>Número máximo de gerações</x:v>
      </x:c>
      <x:c r="F333" s="18" t="str">
        <x:v>Configurar limite por cepa, política interna e resultados históricos.</x:v>
      </x:c>
      <x:c r="G333" s="26" t="str">
        <x:v>Evolução</x:v>
      </x:c>
      <x:c r="H333" s="26" t="str">
        <x:v>Importante</x:v>
      </x:c>
      <x:c r="I333" s="26" t="str">
        <x:v>Cervejeiro / Qualidade</x:v>
      </x:c>
    </x:row>
    <x:row r="334" ht="30" customHeight="1">
      <x:c r="A334" s="24" t="str">
        <x:v>YST.11</x:v>
      </x:c>
      <x:c r="B334" s="25" t="str">
        <x:v>Produção</x:v>
      </x:c>
      <x:c r="C334" s="25" t="str">
        <x:v>Banco e Reutilização de Levedura</x:v>
      </x:c>
      <x:c r="D334" s="18" t="str">
        <x:v>Recomendação</x:v>
      </x:c>
      <x:c r="E334" s="18" t="str">
        <x:v>Aprovar reutilização</x:v>
      </x:c>
      <x:c r="F334" s="18" t="str">
        <x:v>Combinar qualidade, idade, histórico e risco para recomendar usar, propagar ou descartar.</x:v>
      </x:c>
      <x:c r="G334" s="26" t="str">
        <x:v>Evolução</x:v>
      </x:c>
      <x:c r="H334" s="26" t="str">
        <x:v>Importante</x:v>
      </x:c>
      <x:c r="I334" s="26" t="str">
        <x:v>Cervejeiro / Qualidade</x:v>
      </x:c>
    </x:row>
    <x:row r="335" ht="30" customHeight="1">
      <x:c r="A335" s="24" t="str">
        <x:v>YST.12</x:v>
      </x:c>
      <x:c r="B335" s="25" t="str">
        <x:v>Produção</x:v>
      </x:c>
      <x:c r="C335" s="25" t="str">
        <x:v>Banco e Reutilização de Levedura</x:v>
      </x:c>
      <x:c r="D335" s="18" t="str">
        <x:v>Custo</x:v>
      </x:c>
      <x:c r="E335" s="18" t="str">
        <x:v>Economia e perdas</x:v>
      </x:c>
      <x:c r="F335" s="18" t="str">
        <x:v>Comparar economia de reutilização com testes, propagação, descarte e risco.</x:v>
      </x:c>
      <x:c r="G335" s="26" t="str">
        <x:v>Evolução</x:v>
      </x:c>
      <x:c r="H335" s="26" t="str">
        <x:v>Importante</x:v>
      </x:c>
      <x:c r="I335" s="26" t="str">
        <x:v>Cervejeiro / Qualidade</x:v>
      </x:c>
    </x:row>
    <x:row r="336" ht="30" customHeight="1">
      <x:c r="A336" s="24" t="str">
        <x:v>MTR.01</x:v>
      </x:c>
      <x:c r="B336" s="25" t="str">
        <x:v>Qualidade</x:v>
      </x:c>
      <x:c r="C336" s="25" t="str">
        <x:v>Metrologia e Confiabilidade das Medições</x:v>
      </x:c>
      <x:c r="D336" s="18" t="str">
        <x:v>Instrumentos</x:v>
      </x:c>
      <x:c r="E336" s="18" t="str">
        <x:v>Cadastro metrológico</x:v>
      </x:c>
      <x:c r="F336" s="18" t="str">
        <x:v>Registrar fabricante, modelo, faixa, resolução, precisão, número de série e localização.</x:v>
      </x:c>
      <x:c r="G336" s="26" t="str">
        <x:v>MVP 3</x:v>
      </x:c>
      <x:c r="H336" s="26" t="str">
        <x:v>Essencial</x:v>
      </x:c>
      <x:c r="I336" s="26" t="str">
        <x:v>Qualidade / Cervejeiro</x:v>
      </x:c>
    </x:row>
    <x:row r="337" ht="30" customHeight="1">
      <x:c r="A337" s="24" t="str">
        <x:v>MTR.02</x:v>
      </x:c>
      <x:c r="B337" s="25" t="str">
        <x:v>Qualidade</x:v>
      </x:c>
      <x:c r="C337" s="25" t="str">
        <x:v>Metrologia e Confiabilidade das Medições</x:v>
      </x:c>
      <x:c r="D337" s="18" t="str">
        <x:v>Calibração</x:v>
      </x:c>
      <x:c r="E337" s="18" t="str">
        <x:v>Padrões utilizados</x:v>
      </x:c>
      <x:c r="F337" s="18" t="str">
        <x:v>Registrar solução padrão, lote, validade, certificado e rastreabilidade.</x:v>
      </x:c>
      <x:c r="G337" s="26" t="str">
        <x:v>MVP 3</x:v>
      </x:c>
      <x:c r="H337" s="26" t="str">
        <x:v>Essencial</x:v>
      </x:c>
      <x:c r="I337" s="26" t="str">
        <x:v>Qualidade / Cervejeiro</x:v>
      </x:c>
    </x:row>
    <x:row r="338" ht="30" customHeight="1">
      <x:c r="A338" s="24" t="str">
        <x:v>MTR.03</x:v>
      </x:c>
      <x:c r="B338" s="25" t="str">
        <x:v>Qualidade</x:v>
      </x:c>
      <x:c r="C338" s="25" t="str">
        <x:v>Metrologia e Confiabilidade das Medições</x:v>
      </x:c>
      <x:c r="D338" s="18" t="str">
        <x:v>Calibração</x:v>
      </x:c>
      <x:c r="E338" s="18" t="str">
        <x:v>Curva de correção</x:v>
      </x:c>
      <x:c r="F338" s="18" t="str">
        <x:v>Guardar pontos, erro, ajuste e fator de correção aplicável às leituras.</x:v>
      </x:c>
      <x:c r="G338" s="26" t="str">
        <x:v>MVP 3</x:v>
      </x:c>
      <x:c r="H338" s="26" t="str">
        <x:v>Essencial</x:v>
      </x:c>
      <x:c r="I338" s="26" t="str">
        <x:v>Qualidade / Cervejeiro</x:v>
      </x:c>
    </x:row>
    <x:row r="339" ht="30" customHeight="1">
      <x:c r="A339" s="24" t="str">
        <x:v>MTR.04</x:v>
      </x:c>
      <x:c r="B339" s="25" t="str">
        <x:v>Qualidade</x:v>
      </x:c>
      <x:c r="C339" s="25" t="str">
        <x:v>Metrologia e Confiabilidade das Medições</x:v>
      </x:c>
      <x:c r="D339" s="18" t="str">
        <x:v>Verificação</x:v>
      </x:c>
      <x:c r="E339" s="18" t="str">
        <x:v>Checagem antes do uso</x:v>
      </x:c>
      <x:c r="F339" s="18" t="str">
        <x:v>Criar rotina rápida conforme instrumento, etapa e criticidade.</x:v>
      </x:c>
      <x:c r="G339" s="26" t="str">
        <x:v>MVP 3</x:v>
      </x:c>
      <x:c r="H339" s="26" t="str">
        <x:v>Essencial</x:v>
      </x:c>
      <x:c r="I339" s="26" t="str">
        <x:v>Qualidade / Cervejeiro</x:v>
      </x:c>
    </x:row>
    <x:row r="340" ht="30" customHeight="1">
      <x:c r="A340" s="24" t="str">
        <x:v>MTR.05</x:v>
      </x:c>
      <x:c r="B340" s="25" t="str">
        <x:v>Qualidade</x:v>
      </x:c>
      <x:c r="C340" s="25" t="str">
        <x:v>Metrologia e Confiabilidade das Medições</x:v>
      </x:c>
      <x:c r="D340" s="18" t="str">
        <x:v>Incerteza</x:v>
      </x:c>
      <x:c r="E340" s="18" t="str">
        <x:v>Qualidade do resultado</x:v>
      </x:c>
      <x:c r="F340" s="18" t="str">
        <x:v>Associar resolução, repetibilidade, amostragem e condição da leitura.</x:v>
      </x:c>
      <x:c r="G340" s="26" t="str">
        <x:v>MVP 3</x:v>
      </x:c>
      <x:c r="H340" s="26" t="str">
        <x:v>Essencial</x:v>
      </x:c>
      <x:c r="I340" s="26" t="str">
        <x:v>Qualidade / Cervejeiro</x:v>
      </x:c>
    </x:row>
    <x:row r="341" ht="30" customHeight="1">
      <x:c r="A341" s="24" t="str">
        <x:v>MTR.06</x:v>
      </x:c>
      <x:c r="B341" s="25" t="str">
        <x:v>Qualidade</x:v>
      </x:c>
      <x:c r="C341" s="25" t="str">
        <x:v>Metrologia e Confiabilidade das Medições</x:v>
      </x:c>
      <x:c r="D341" s="18" t="str">
        <x:v>Temperatura</x:v>
      </x:c>
      <x:c r="E341" s="18" t="str">
        <x:v>Correção automática</x:v>
      </x:c>
      <x:c r="F341" s="18" t="str">
        <x:v>Corrigir densidade, refratometria, pH ou volume quando o método permitir.</x:v>
      </x:c>
      <x:c r="G341" s="26" t="str">
        <x:v>MVP 3</x:v>
      </x:c>
      <x:c r="H341" s="26" t="str">
        <x:v>Essencial</x:v>
      </x:c>
      <x:c r="I341" s="26" t="str">
        <x:v>Qualidade / Cervejeiro</x:v>
      </x:c>
    </x:row>
    <x:row r="342" ht="30" customHeight="1">
      <x:c r="A342" s="24" t="str">
        <x:v>MTR.07</x:v>
      </x:c>
      <x:c r="B342" s="25" t="str">
        <x:v>Qualidade</x:v>
      </x:c>
      <x:c r="C342" s="25" t="str">
        <x:v>Metrologia e Confiabilidade das Medições</x:v>
      </x:c>
      <x:c r="D342" s="18" t="str">
        <x:v>Refratômetro</x:v>
      </x:c>
      <x:c r="E342" s="18" t="str">
        <x:v>Correção pós-fermentação</x:v>
      </x:c>
      <x:c r="F342" s="18" t="str">
        <x:v>Aplicar modelo selecionado e manter Brix original, atual e resultado corrigido.</x:v>
      </x:c>
      <x:c r="G342" s="26" t="str">
        <x:v>MVP 3</x:v>
      </x:c>
      <x:c r="H342" s="26" t="str">
        <x:v>Essencial</x:v>
      </x:c>
      <x:c r="I342" s="26" t="str">
        <x:v>Qualidade / Cervejeiro</x:v>
      </x:c>
    </x:row>
    <x:row r="343" ht="30" customHeight="1">
      <x:c r="A343" s="24" t="str">
        <x:v>MTR.08</x:v>
      </x:c>
      <x:c r="B343" s="25" t="str">
        <x:v>Qualidade</x:v>
      </x:c>
      <x:c r="C343" s="25" t="str">
        <x:v>Metrologia e Confiabilidade das Medições</x:v>
      </x:c>
      <x:c r="D343" s="18" t="str">
        <x:v>Conferência</x:v>
      </x:c>
      <x:c r="E343" s="18" t="str">
        <x:v>Instrumentos redundantes</x:v>
      </x:c>
      <x:c r="F343" s="18" t="str">
        <x:v>Comparar refratômetro, densímetro e sensor para detectar deriva.</x:v>
      </x:c>
      <x:c r="G343" s="26" t="str">
        <x:v>MVP 3</x:v>
      </x:c>
      <x:c r="H343" s="26" t="str">
        <x:v>Essencial</x:v>
      </x:c>
      <x:c r="I343" s="26" t="str">
        <x:v>Qualidade / Cervejeiro</x:v>
      </x:c>
    </x:row>
    <x:row r="344" ht="30" customHeight="1">
      <x:c r="A344" s="24" t="str">
        <x:v>MTR.09</x:v>
      </x:c>
      <x:c r="B344" s="25" t="str">
        <x:v>Qualidade</x:v>
      </x:c>
      <x:c r="C344" s="25" t="str">
        <x:v>Metrologia e Confiabilidade das Medições</x:v>
      </x:c>
      <x:c r="D344" s="18" t="str">
        <x:v>Amostragem</x:v>
      </x:c>
      <x:c r="E344" s="18" t="str">
        <x:v>Procedimento de coleta</x:v>
      </x:c>
      <x:c r="F344" s="18" t="str">
        <x:v>Controlar homogeneização, descarte inicial, temperatura, contaminação e volume retirado.</x:v>
      </x:c>
      <x:c r="G344" s="26" t="str">
        <x:v>MVP 3</x:v>
      </x:c>
      <x:c r="H344" s="26" t="str">
        <x:v>Essencial</x:v>
      </x:c>
      <x:c r="I344" s="26" t="str">
        <x:v>Qualidade / Cervejeiro</x:v>
      </x:c>
    </x:row>
    <x:row r="345" ht="30" customHeight="1">
      <x:c r="A345" s="24" t="str">
        <x:v>MTR.10</x:v>
      </x:c>
      <x:c r="B345" s="25" t="str">
        <x:v>Qualidade</x:v>
      </x:c>
      <x:c r="C345" s="25" t="str">
        <x:v>Metrologia e Confiabilidade das Medições</x:v>
      </x:c>
      <x:c r="D345" s="18" t="str">
        <x:v>Bloqueio</x:v>
      </x:c>
      <x:c r="E345" s="18" t="str">
        <x:v>Calibração vencida</x:v>
      </x:c>
      <x:c r="F345" s="18" t="str">
        <x:v>Impedir uso em ponto crítico ou exigir exceção aprovada.</x:v>
      </x:c>
      <x:c r="G345" s="26" t="str">
        <x:v>MVP 3</x:v>
      </x:c>
      <x:c r="H345" s="26" t="str">
        <x:v>Essencial</x:v>
      </x:c>
      <x:c r="I345" s="26" t="str">
        <x:v>Qualidade / Cervejeiro</x:v>
      </x:c>
    </x:row>
    <x:row r="346" ht="30" customHeight="1">
      <x:c r="A346" s="24" t="str">
        <x:v>MTR.11</x:v>
      </x:c>
      <x:c r="B346" s="25" t="str">
        <x:v>Qualidade</x:v>
      </x:c>
      <x:c r="C346" s="25" t="str">
        <x:v>Metrologia e Confiabilidade das Medições</x:v>
      </x:c>
      <x:c r="D346" s="18" t="str">
        <x:v>Tendência</x:v>
      </x:c>
      <x:c r="E346" s="18" t="str">
        <x:v>Deriva do instrumento</x:v>
      </x:c>
      <x:c r="F346" s="18" t="str">
        <x:v>Detectar aumento gradual do erro e antecipar manutenção ou substituição.</x:v>
      </x:c>
      <x:c r="G346" s="26" t="str">
        <x:v>MVP 3</x:v>
      </x:c>
      <x:c r="H346" s="26" t="str">
        <x:v>Essencial</x:v>
      </x:c>
      <x:c r="I346" s="26" t="str">
        <x:v>Qualidade / Cervejeiro</x:v>
      </x:c>
    </x:row>
    <x:row r="347" ht="30" customHeight="1">
      <x:c r="A347" s="24" t="str">
        <x:v>MTR.12</x:v>
      </x:c>
      <x:c r="B347" s="25" t="str">
        <x:v>Qualidade</x:v>
      </x:c>
      <x:c r="C347" s="25" t="str">
        <x:v>Metrologia e Confiabilidade das Medições</x:v>
      </x:c>
      <x:c r="D347" s="18" t="str">
        <x:v>Impacto</x:v>
      </x:c>
      <x:c r="E347" s="18" t="str">
        <x:v>Recalcular decisões</x:v>
      </x:c>
      <x:c r="F347" s="18" t="str">
        <x:v>Identificar lotes e recomendações afetados quando uma calibração falhar.</x:v>
      </x:c>
      <x:c r="G347" s="26" t="str">
        <x:v>MVP 3</x:v>
      </x:c>
      <x:c r="H347" s="26" t="str">
        <x:v>Essencial</x:v>
      </x:c>
      <x:c r="I347" s="26" t="str">
        <x:v>Qualidade / Cervejeiro</x:v>
      </x:c>
    </x:row>
    <x:row r="348" ht="30" customHeight="1">
      <x:c r="A348" s="24" t="str">
        <x:v>DTW.01</x:v>
      </x:c>
      <x:c r="B348" s="25" t="str">
        <x:v>Inteligência</x:v>
      </x:c>
      <x:c r="C348" s="25" t="str">
        <x:v>Gêmeo Digital e Controle Estatístico</x:v>
      </x:c>
      <x:c r="D348" s="18" t="str">
        <x:v>Modelo</x:v>
      </x:c>
      <x:c r="E348" s="18" t="str">
        <x:v>Perfil aprendido do equipamento</x:v>
      </x:c>
      <x:c r="F348" s="18" t="str">
        <x:v>Atualizar eficiência, evaporação, perdas e tempos com lotes validados.</x:v>
      </x:c>
      <x:c r="G348" s="26" t="str">
        <x:v>Evolução</x:v>
      </x:c>
      <x:c r="H348" s="26" t="str">
        <x:v>Avançado</x:v>
      </x:c>
      <x:c r="I348" s="26" t="str">
        <x:v>Cervejeiro / Qualidade</x:v>
      </x:c>
    </x:row>
    <x:row r="349" ht="30" customHeight="1">
      <x:c r="A349" s="24" t="str">
        <x:v>DTW.02</x:v>
      </x:c>
      <x:c r="B349" s="25" t="str">
        <x:v>Inteligência</x:v>
      </x:c>
      <x:c r="C349" s="25" t="str">
        <x:v>Gêmeo Digital e Controle Estatístico</x:v>
      </x:c>
      <x:c r="D349" s="18" t="str">
        <x:v>Modelo</x:v>
      </x:c>
      <x:c r="E349" s="18" t="str">
        <x:v>Faixa de confiança</x:v>
      </x:c>
      <x:c r="F349" s="18" t="str">
        <x:v>Mostrar previsão, incerteza e quantidade de lotes usados no aprendizado.</x:v>
      </x:c>
      <x:c r="G349" s="26" t="str">
        <x:v>Evolução</x:v>
      </x:c>
      <x:c r="H349" s="26" t="str">
        <x:v>Avançado</x:v>
      </x:c>
      <x:c r="I349" s="26" t="str">
        <x:v>Cervejeiro / Qualidade</x:v>
      </x:c>
    </x:row>
    <x:row r="350" ht="30" customHeight="1">
      <x:c r="A350" s="24" t="str">
        <x:v>DTW.03</x:v>
      </x:c>
      <x:c r="B350" s="25" t="str">
        <x:v>Inteligência</x:v>
      </x:c>
      <x:c r="C350" s="25" t="str">
        <x:v>Gêmeo Digital e Controle Estatístico</x:v>
      </x:c>
      <x:c r="D350" s="18" t="str">
        <x:v>Simulação</x:v>
      </x:c>
      <x:c r="E350" s="18" t="str">
        <x:v>Brassagem virtual</x:v>
      </x:c>
      <x:c r="F350" s="18" t="str">
        <x:v>Projetar volumes, densidade, energia, duração e gargalos antes de liberar a OP.</x:v>
      </x:c>
      <x:c r="G350" s="26" t="str">
        <x:v>Evolução</x:v>
      </x:c>
      <x:c r="H350" s="26" t="str">
        <x:v>Avançado</x:v>
      </x:c>
      <x:c r="I350" s="26" t="str">
        <x:v>Cervejeiro / Qualidade</x:v>
      </x:c>
    </x:row>
    <x:row r="351" ht="30" customHeight="1">
      <x:c r="A351" s="24" t="str">
        <x:v>DTW.04</x:v>
      </x:c>
      <x:c r="B351" s="25" t="str">
        <x:v>Inteligência</x:v>
      </x:c>
      <x:c r="C351" s="25" t="str">
        <x:v>Gêmeo Digital e Controle Estatístico</x:v>
      </x:c>
      <x:c r="D351" s="18" t="str">
        <x:v>Controle</x:v>
      </x:c>
      <x:c r="E351" s="18" t="str">
        <x:v>Cartas de processo</x:v>
      </x:c>
      <x:c r="F351" s="18" t="str">
        <x:v>Aplicar média, dispersão e limites de controle por receita, etapa e equipamento.</x:v>
      </x:c>
      <x:c r="G351" s="26" t="str">
        <x:v>Evolução</x:v>
      </x:c>
      <x:c r="H351" s="26" t="str">
        <x:v>Avançado</x:v>
      </x:c>
      <x:c r="I351" s="26" t="str">
        <x:v>Cervejeiro / Qualidade</x:v>
      </x:c>
    </x:row>
    <x:row r="352" ht="30" customHeight="1">
      <x:c r="A352" s="24" t="str">
        <x:v>DTW.05</x:v>
      </x:c>
      <x:c r="B352" s="25" t="str">
        <x:v>Inteligência</x:v>
      </x:c>
      <x:c r="C352" s="25" t="str">
        <x:v>Gêmeo Digital e Controle Estatístico</x:v>
      </x:c>
      <x:c r="D352" s="18" t="str">
        <x:v>Controle</x:v>
      </x:c>
      <x:c r="E352" s="18" t="str">
        <x:v>Regras de tendência</x:v>
      </x:c>
      <x:c r="F352" s="18" t="str">
        <x:v>Detectar sequência, deslocamento, deriva e variabilidade anormal.</x:v>
      </x:c>
      <x:c r="G352" s="26" t="str">
        <x:v>Evolução</x:v>
      </x:c>
      <x:c r="H352" s="26" t="str">
        <x:v>Avançado</x:v>
      </x:c>
      <x:c r="I352" s="26" t="str">
        <x:v>Cervejeiro / Qualidade</x:v>
      </x:c>
    </x:row>
    <x:row r="353" ht="30" customHeight="1">
      <x:c r="A353" s="24" t="str">
        <x:v>DTW.06</x:v>
      </x:c>
      <x:c r="B353" s="25" t="str">
        <x:v>Inteligência</x:v>
      </x:c>
      <x:c r="C353" s="25" t="str">
        <x:v>Gêmeo Digital e Controle Estatístico</x:v>
      </x:c>
      <x:c r="D353" s="18" t="str">
        <x:v>Fermentação</x:v>
      </x:c>
      <x:c r="E353" s="18" t="str">
        <x:v>Envelope esperado</x:v>
      </x:c>
      <x:c r="F353" s="18" t="str">
        <x:v>Comparar curvas reais com faixa histórica de densidade, temperatura e pressão.</x:v>
      </x:c>
      <x:c r="G353" s="26" t="str">
        <x:v>Evolução</x:v>
      </x:c>
      <x:c r="H353" s="26" t="str">
        <x:v>Avançado</x:v>
      </x:c>
      <x:c r="I353" s="26" t="str">
        <x:v>Cervejeiro / Qualidade</x:v>
      </x:c>
    </x:row>
    <x:row r="354" ht="30" customHeight="1">
      <x:c r="A354" s="24" t="str">
        <x:v>DTW.07</x:v>
      </x:c>
      <x:c r="B354" s="25" t="str">
        <x:v>Inteligência</x:v>
      </x:c>
      <x:c r="C354" s="25" t="str">
        <x:v>Gêmeo Digital e Controle Estatístico</x:v>
      </x:c>
      <x:c r="D354" s="18" t="str">
        <x:v>Anomalias</x:v>
      </x:c>
      <x:c r="E354" s="18" t="str">
        <x:v>Detecção antecipada</x:v>
      </x:c>
      <x:c r="F354" s="18" t="str">
        <x:v>Alertar alteração de padrão antes de ultrapassar a especificação.</x:v>
      </x:c>
      <x:c r="G354" s="26" t="str">
        <x:v>Evolução</x:v>
      </x:c>
      <x:c r="H354" s="26" t="str">
        <x:v>Avançado</x:v>
      </x:c>
      <x:c r="I354" s="26" t="str">
        <x:v>Cervejeiro / Qualidade</x:v>
      </x:c>
    </x:row>
    <x:row r="355" ht="30" customHeight="1">
      <x:c r="A355" s="24" t="str">
        <x:v>DTW.08</x:v>
      </x:c>
      <x:c r="B355" s="25" t="str">
        <x:v>Inteligência</x:v>
      </x:c>
      <x:c r="C355" s="25" t="str">
        <x:v>Gêmeo Digital e Controle Estatístico</x:v>
      </x:c>
      <x:c r="D355" s="18" t="str">
        <x:v>Dados</x:v>
      </x:c>
      <x:c r="E355" s="18" t="str">
        <x:v>Pontuação de confiança</x:v>
      </x:c>
      <x:c r="F355" s="18" t="str">
        <x:v>Avaliar falhas, lacunas, atrasos e divergências entre sensores.</x:v>
      </x:c>
      <x:c r="G355" s="26" t="str">
        <x:v>Evolução</x:v>
      </x:c>
      <x:c r="H355" s="26" t="str">
        <x:v>Avançado</x:v>
      </x:c>
      <x:c r="I355" s="26" t="str">
        <x:v>Cervejeiro / Qualidade</x:v>
      </x:c>
    </x:row>
    <x:row r="356" ht="30" customHeight="1">
      <x:c r="A356" s="24" t="str">
        <x:v>DTW.09</x:v>
      </x:c>
      <x:c r="B356" s="25" t="str">
        <x:v>Inteligência</x:v>
      </x:c>
      <x:c r="C356" s="25" t="str">
        <x:v>Gêmeo Digital e Controle Estatístico</x:v>
      </x:c>
      <x:c r="D356" s="18" t="str">
        <x:v>Causa</x:v>
      </x:c>
      <x:c r="E356" s="18" t="str">
        <x:v>Correlação de variáveis</x:v>
      </x:c>
      <x:c r="F356" s="18" t="str">
        <x:v>Relacionar matéria-prima, processo, equipamento e qualidade sem afirmar causalidade automática.</x:v>
      </x:c>
      <x:c r="G356" s="26" t="str">
        <x:v>Evolução</x:v>
      </x:c>
      <x:c r="H356" s="26" t="str">
        <x:v>Avançado</x:v>
      </x:c>
      <x:c r="I356" s="26" t="str">
        <x:v>Cervejeiro / Qualidade</x:v>
      </x:c>
    </x:row>
    <x:row r="357" ht="30" customHeight="1">
      <x:c r="A357" s="24" t="str">
        <x:v>DTW.10</x:v>
      </x:c>
      <x:c r="B357" s="25" t="str">
        <x:v>Inteligência</x:v>
      </x:c>
      <x:c r="C357" s="25" t="str">
        <x:v>Gêmeo Digital e Controle Estatístico</x:v>
      </x:c>
      <x:c r="D357" s="18" t="str">
        <x:v>Manutenção</x:v>
      </x:c>
      <x:c r="E357" s="18" t="str">
        <x:v>Desempenho degradado</x:v>
      </x:c>
      <x:c r="F357" s="18" t="str">
        <x:v>Detectar aumento de aquecimento, resfriamento, consumo ou perda de pressão.</x:v>
      </x:c>
      <x:c r="G357" s="26" t="str">
        <x:v>Evolução</x:v>
      </x:c>
      <x:c r="H357" s="26" t="str">
        <x:v>Avançado</x:v>
      </x:c>
      <x:c r="I357" s="26" t="str">
        <x:v>Cervejeiro / Qualidade</x:v>
      </x:c>
    </x:row>
    <x:row r="358" ht="30" customHeight="1">
      <x:c r="A358" s="24" t="str">
        <x:v>DTW.11</x:v>
      </x:c>
      <x:c r="B358" s="25" t="str">
        <x:v>Inteligência</x:v>
      </x:c>
      <x:c r="C358" s="25" t="str">
        <x:v>Gêmeo Digital e Controle Estatístico</x:v>
      </x:c>
      <x:c r="D358" s="18" t="str">
        <x:v>Aprendizado</x:v>
      </x:c>
      <x:c r="E358" s="18" t="str">
        <x:v>Aprovação do modelo</x:v>
      </x:c>
      <x:c r="F358" s="18" t="str">
        <x:v>Publicar nova versão do modelo somente após validação técnica.</x:v>
      </x:c>
      <x:c r="G358" s="26" t="str">
        <x:v>Evolução</x:v>
      </x:c>
      <x:c r="H358" s="26" t="str">
        <x:v>Avançado</x:v>
      </x:c>
      <x:c r="I358" s="26" t="str">
        <x:v>Cervejeiro / Qualidade</x:v>
      </x:c>
    </x:row>
    <x:row r="359" ht="30" customHeight="1">
      <x:c r="A359" s="24" t="str">
        <x:v>DTW.12</x:v>
      </x:c>
      <x:c r="B359" s="25" t="str">
        <x:v>Inteligência</x:v>
      </x:c>
      <x:c r="C359" s="25" t="str">
        <x:v>Gêmeo Digital e Controle Estatístico</x:v>
      </x:c>
      <x:c r="D359" s="18" t="str">
        <x:v>Explicação</x:v>
      </x:c>
      <x:c r="E359" s="18" t="str">
        <x:v>Motivo da previsão</x:v>
      </x:c>
      <x:c r="F359" s="18" t="str">
        <x:v>Exibir variáveis, histórico e limites utilizados em cada recomendação.</x:v>
      </x:c>
      <x:c r="G359" s="26" t="str">
        <x:v>Evolução</x:v>
      </x:c>
      <x:c r="H359" s="26" t="str">
        <x:v>Avançado</x:v>
      </x:c>
      <x:c r="I359" s="26" t="str">
        <x:v>Cervejeiro / Qualidade</x:v>
      </x:c>
    </x:row>
    <x:row r="360" ht="30" customHeight="1">
      <x:c r="A360" s="24" t="str">
        <x:v>FSL.01</x:v>
      </x:c>
      <x:c r="B360" s="25" t="str">
        <x:v>Qualidade</x:v>
      </x:c>
      <x:c r="C360" s="25" t="str">
        <x:v>Frescor, Oxigênio e Vida Útil</x:v>
      </x:c>
      <x:c r="D360" s="18" t="str">
        <x:v>Oxigênio</x:v>
      </x:c>
      <x:c r="E360" s="18" t="str">
        <x:v>Pontos de medição</x:v>
      </x:c>
      <x:c r="F360" s="18" t="str">
        <x:v>Registrar DO/TPO no tanque, transferência, enchedora e embalagem.</x:v>
      </x:c>
      <x:c r="G360" s="26" t="str">
        <x:v>Evolução</x:v>
      </x:c>
      <x:c r="H360" s="26" t="str">
        <x:v>Importante</x:v>
      </x:c>
      <x:c r="I360" s="26" t="str">
        <x:v>Qualidade / Produção</x:v>
      </x:c>
    </x:row>
    <x:row r="361" ht="30" customHeight="1">
      <x:c r="A361" s="24" t="str">
        <x:v>FSL.02</x:v>
      </x:c>
      <x:c r="B361" s="25" t="str">
        <x:v>Qualidade</x:v>
      </x:c>
      <x:c r="C361" s="25" t="str">
        <x:v>Frescor, Oxigênio e Vida Útil</x:v>
      </x:c>
      <x:c r="D361" s="18" t="str">
        <x:v>Purga</x:v>
      </x:c>
      <x:c r="E361" s="18" t="str">
        <x:v>Validação de tanque e embalagem</x:v>
      </x:c>
      <x:c r="F361" s="18" t="str">
        <x:v>Controlar ciclos, pressão, tempo, gás consumido e critério de aprovação.</x:v>
      </x:c>
      <x:c r="G361" s="26" t="str">
        <x:v>Evolução</x:v>
      </x:c>
      <x:c r="H361" s="26" t="str">
        <x:v>Importante</x:v>
      </x:c>
      <x:c r="I361" s="26" t="str">
        <x:v>Qualidade / Produção</x:v>
      </x:c>
    </x:row>
    <x:row r="362" ht="30" customHeight="1">
      <x:c r="A362" s="24" t="str">
        <x:v>FSL.03</x:v>
      </x:c>
      <x:c r="B362" s="25" t="str">
        <x:v>Qualidade</x:v>
      </x:c>
      <x:c r="C362" s="25" t="str">
        <x:v>Frescor, Oxigênio e Vida Útil</x:v>
      </x:c>
      <x:c r="D362" s="18" t="str">
        <x:v>Transferência</x:v>
      </x:c>
      <x:c r="E362" s="18" t="str">
        <x:v>Captação de oxigênio</x:v>
      </x:c>
      <x:c r="F362" s="18" t="str">
        <x:v>Comparar origem e destino para estimar pickup da operação.</x:v>
      </x:c>
      <x:c r="G362" s="26" t="str">
        <x:v>Evolução</x:v>
      </x:c>
      <x:c r="H362" s="26" t="str">
        <x:v>Importante</x:v>
      </x:c>
      <x:c r="I362" s="26" t="str">
        <x:v>Qualidade / Produção</x:v>
      </x:c>
    </x:row>
    <x:row r="363" ht="30" customHeight="1">
      <x:c r="A363" s="24" t="str">
        <x:v>FSL.04</x:v>
      </x:c>
      <x:c r="B363" s="25" t="str">
        <x:v>Qualidade</x:v>
      </x:c>
      <x:c r="C363" s="25" t="str">
        <x:v>Frescor, Oxigênio e Vida Útil</x:v>
      </x:c>
      <x:c r="D363" s="18" t="str">
        <x:v>Envase</x:v>
      </x:c>
      <x:c r="E363" s="18" t="str">
        <x:v>Espuma e fechamento</x:v>
      </x:c>
      <x:c r="F363" s="18" t="str">
        <x:v>Registrar condição de enchimento, tempo até fechamento e rejeitos.</x:v>
      </x:c>
      <x:c r="G363" s="26" t="str">
        <x:v>Evolução</x:v>
      </x:c>
      <x:c r="H363" s="26" t="str">
        <x:v>Importante</x:v>
      </x:c>
      <x:c r="I363" s="26" t="str">
        <x:v>Qualidade / Produção</x:v>
      </x:c>
    </x:row>
    <x:row r="364" ht="30" customHeight="1">
      <x:c r="A364" s="24" t="str">
        <x:v>FSL.05</x:v>
      </x:c>
      <x:c r="B364" s="25" t="str">
        <x:v>Qualidade</x:v>
      </x:c>
      <x:c r="C364" s="25" t="str">
        <x:v>Frescor, Oxigênio e Vida Útil</x:v>
      </x:c>
      <x:c r="D364" s="18" t="str">
        <x:v>Embalagem</x:v>
      </x:c>
      <x:c r="E364" s="18" t="str">
        <x:v>Vedação</x:v>
      </x:c>
      <x:c r="F364" s="18" t="str">
        <x:v>Controlar torque, recravação, vazamento, tampa, liner e inspeção.</x:v>
      </x:c>
      <x:c r="G364" s="26" t="str">
        <x:v>Evolução</x:v>
      </x:c>
      <x:c r="H364" s="26" t="str">
        <x:v>Importante</x:v>
      </x:c>
      <x:c r="I364" s="26" t="str">
        <x:v>Qualidade / Produção</x:v>
      </x:c>
    </x:row>
    <x:row r="365" ht="30" customHeight="1">
      <x:c r="A365" s="24" t="str">
        <x:v>FSL.06</x:v>
      </x:c>
      <x:c r="B365" s="25" t="str">
        <x:v>Qualidade</x:v>
      </x:c>
      <x:c r="C365" s="25" t="str">
        <x:v>Frescor, Oxigênio e Vida Útil</x:v>
      </x:c>
      <x:c r="D365" s="18" t="str">
        <x:v>Armazenamento</x:v>
      </x:c>
      <x:c r="E365" s="18" t="str">
        <x:v>Exposição térmica</x:v>
      </x:c>
      <x:c r="F365" s="18" t="str">
        <x:v>Registrar temperatura, tempo e eventos de quebra da cadeia fria.</x:v>
      </x:c>
      <x:c r="G365" s="26" t="str">
        <x:v>Evolução</x:v>
      </x:c>
      <x:c r="H365" s="26" t="str">
        <x:v>Importante</x:v>
      </x:c>
      <x:c r="I365" s="26" t="str">
        <x:v>Qualidade / Produção</x:v>
      </x:c>
    </x:row>
    <x:row r="366" ht="30" customHeight="1">
      <x:c r="A366" s="24" t="str">
        <x:v>FSL.07</x:v>
      </x:c>
      <x:c r="B366" s="25" t="str">
        <x:v>Qualidade</x:v>
      </x:c>
      <x:c r="C366" s="25" t="str">
        <x:v>Frescor, Oxigênio e Vida Útil</x:v>
      </x:c>
      <x:c r="D366" s="18" t="str">
        <x:v>Estabilidade</x:v>
      </x:c>
      <x:c r="E366" s="18" t="str">
        <x:v>Plano de vida útil</x:v>
      </x:c>
      <x:c r="F366" s="18" t="str">
        <x:v>Definir pontos de avaliação química, física, microbiológica e sensorial.</x:v>
      </x:c>
      <x:c r="G366" s="26" t="str">
        <x:v>Evolução</x:v>
      </x:c>
      <x:c r="H366" s="26" t="str">
        <x:v>Importante</x:v>
      </x:c>
      <x:c r="I366" s="26" t="str">
        <x:v>Qualidade / Produção</x:v>
      </x:c>
    </x:row>
    <x:row r="367" ht="30" customHeight="1">
      <x:c r="A367" s="24" t="str">
        <x:v>FSL.08</x:v>
      </x:c>
      <x:c r="B367" s="25" t="str">
        <x:v>Qualidade</x:v>
      </x:c>
      <x:c r="C367" s="25" t="str">
        <x:v>Frescor, Oxigênio e Vida Útil</x:v>
      </x:c>
      <x:c r="D367" s="18" t="str">
        <x:v>Estabilidade</x:v>
      </x:c>
      <x:c r="E367" s="18" t="str">
        <x:v>Teste acelerado</x:v>
      </x:c>
      <x:c r="F367" s="18" t="str">
        <x:v>Registrar protocolo, condição, resultado e correlação com armazenamento real.</x:v>
      </x:c>
      <x:c r="G367" s="26" t="str">
        <x:v>Evolução</x:v>
      </x:c>
      <x:c r="H367" s="26" t="str">
        <x:v>Importante</x:v>
      </x:c>
      <x:c r="I367" s="26" t="str">
        <x:v>Qualidade / Produção</x:v>
      </x:c>
    </x:row>
    <x:row r="368" ht="30" customHeight="1">
      <x:c r="A368" s="24" t="str">
        <x:v>FSL.09</x:v>
      </x:c>
      <x:c r="B368" s="25" t="str">
        <x:v>Qualidade</x:v>
      </x:c>
      <x:c r="C368" s="25" t="str">
        <x:v>Frescor, Oxigênio e Vida Útil</x:v>
      </x:c>
      <x:c r="D368" s="18" t="str">
        <x:v>Sensorial</x:v>
      </x:c>
      <x:c r="E368" s="18" t="str">
        <x:v>Marcadores de envelhecimento</x:v>
      </x:c>
      <x:c r="F368" s="18" t="str">
        <x:v>Acompanhar oxidação, perda de lúpulo, alteração de cor e carbonatação.</x:v>
      </x:c>
      <x:c r="G368" s="26" t="str">
        <x:v>Evolução</x:v>
      </x:c>
      <x:c r="H368" s="26" t="str">
        <x:v>Importante</x:v>
      </x:c>
      <x:c r="I368" s="26" t="str">
        <x:v>Qualidade / Produção</x:v>
      </x:c>
    </x:row>
    <x:row r="369" ht="30" customHeight="1">
      <x:c r="A369" s="24" t="str">
        <x:v>FSL.10</x:v>
      </x:c>
      <x:c r="B369" s="25" t="str">
        <x:v>Qualidade</x:v>
      </x:c>
      <x:c r="C369" s="25" t="str">
        <x:v>Frescor, Oxigênio e Vida Útil</x:v>
      </x:c>
      <x:c r="D369" s="18" t="str">
        <x:v>Previsão</x:v>
      </x:c>
      <x:c r="E369" s="18" t="str">
        <x:v>Validade recomendada</x:v>
      </x:c>
      <x:c r="F369" s="18" t="str">
        <x:v>Calcular faixa baseada em produto, embalagem, oxigênio e histórico.</x:v>
      </x:c>
      <x:c r="G369" s="26" t="str">
        <x:v>Evolução</x:v>
      </x:c>
      <x:c r="H369" s="26" t="str">
        <x:v>Importante</x:v>
      </x:c>
      <x:c r="I369" s="26" t="str">
        <x:v>Qualidade / Produção</x:v>
      </x:c>
    </x:row>
    <x:row r="370" ht="30" customHeight="1">
      <x:c r="A370" s="24" t="str">
        <x:v>FSL.11</x:v>
      </x:c>
      <x:c r="B370" s="25" t="str">
        <x:v>Qualidade</x:v>
      </x:c>
      <x:c r="C370" s="25" t="str">
        <x:v>Frescor, Oxigênio e Vida Útil</x:v>
      </x:c>
      <x:c r="D370" s="18" t="str">
        <x:v>Mercado</x:v>
      </x:c>
      <x:c r="E370" s="18" t="str">
        <x:v>Amostra de campo</x:v>
      </x:c>
      <x:c r="F370" s="18" t="str">
        <x:v>Relacionar reclamação ou devolução ao lote, transporte e idade do produto.</x:v>
      </x:c>
      <x:c r="G370" s="26" t="str">
        <x:v>Evolução</x:v>
      </x:c>
      <x:c r="H370" s="26" t="str">
        <x:v>Importante</x:v>
      </x:c>
      <x:c r="I370" s="26" t="str">
        <x:v>Qualidade / Produção</x:v>
      </x:c>
    </x:row>
    <x:row r="371" ht="30" customHeight="1">
      <x:c r="A371" s="24" t="str">
        <x:v>FSL.12</x:v>
      </x:c>
      <x:c r="B371" s="25" t="str">
        <x:v>Qualidade</x:v>
      </x:c>
      <x:c r="C371" s="25" t="str">
        <x:v>Frescor, Oxigênio e Vida Útil</x:v>
      </x:c>
      <x:c r="D371" s="18" t="str">
        <x:v>Ação</x:v>
      </x:c>
      <x:c r="E371" s="18" t="str">
        <x:v>Revisar processo</x:v>
      </x:c>
      <x:c r="F371" s="18" t="str">
        <x:v>Criar CAPA quando vida útil ou frescor ficarem abaixo da meta.</x:v>
      </x:c>
      <x:c r="G371" s="26" t="str">
        <x:v>Evolução</x:v>
      </x:c>
      <x:c r="H371" s="26" t="str">
        <x:v>Importante</x:v>
      </x:c>
      <x:c r="I371" s="26" t="str">
        <x:v>Qualidade / Produção</x:v>
      </x:c>
    </x:row>
    <x:row r="372" ht="30" customHeight="1">
      <x:c r="A372" s="24" t="str">
        <x:v>FDS.01</x:v>
      </x:c>
      <x:c r="B372" s="25" t="str">
        <x:v>Qualidade</x:v>
      </x:c>
      <x:c r="C372" s="25" t="str">
        <x:v>Segurança dos Alimentos e Conformidade</x:v>
      </x:c>
      <x:c r="D372" s="18" t="str">
        <x:v>Perigos</x:v>
      </x:c>
      <x:c r="E372" s="18" t="str">
        <x:v>Plano baseado em risco</x:v>
      </x:c>
      <x:c r="F372" s="18" t="str">
        <x:v>Identificar perigo biológico, químico e físico por etapa e produto.</x:v>
      </x:c>
      <x:c r="G372" s="26" t="str">
        <x:v>Evolução</x:v>
      </x:c>
      <x:c r="H372" s="26" t="str">
        <x:v>Importante</x:v>
      </x:c>
      <x:c r="I372" s="26" t="str">
        <x:v>Qualidade / Administrador</x:v>
      </x:c>
    </x:row>
    <x:row r="373" ht="30" customHeight="1">
      <x:c r="A373" s="24" t="str">
        <x:v>FDS.02</x:v>
      </x:c>
      <x:c r="B373" s="25" t="str">
        <x:v>Qualidade</x:v>
      </x:c>
      <x:c r="C373" s="25" t="str">
        <x:v>Segurança dos Alimentos e Conformidade</x:v>
      </x:c>
      <x:c r="D373" s="18" t="str">
        <x:v>Controles</x:v>
      </x:c>
      <x:c r="E373" s="18" t="str">
        <x:v>Pontos críticos e operacionais</x:v>
      </x:c>
      <x:c r="F373" s="18" t="str">
        <x:v>Definir limite, monitoramento, responsável, correção e verificação.</x:v>
      </x:c>
      <x:c r="G373" s="26" t="str">
        <x:v>Evolução</x:v>
      </x:c>
      <x:c r="H373" s="26" t="str">
        <x:v>Importante</x:v>
      </x:c>
      <x:c r="I373" s="26" t="str">
        <x:v>Qualidade / Administrador</x:v>
      </x:c>
    </x:row>
    <x:row r="374" ht="30" customHeight="1">
      <x:c r="A374" s="24" t="str">
        <x:v>FDS.03</x:v>
      </x:c>
      <x:c r="B374" s="25" t="str">
        <x:v>Qualidade</x:v>
      </x:c>
      <x:c r="C374" s="25" t="str">
        <x:v>Segurança dos Alimentos e Conformidade</x:v>
      </x:c>
      <x:c r="D374" s="18" t="str">
        <x:v>Alergênicos</x:v>
      </x:c>
      <x:c r="E374" s="18" t="str">
        <x:v>Matriz ingrediente/produto</x:v>
      </x:c>
      <x:c r="F374" s="18" t="str">
        <x:v>Mapear cevada, trigo, aveia, lactose, frutas, castanhas e outros ingredientes relevantes.</x:v>
      </x:c>
      <x:c r="G374" s="26" t="str">
        <x:v>Evolução</x:v>
      </x:c>
      <x:c r="H374" s="26" t="str">
        <x:v>Importante</x:v>
      </x:c>
      <x:c r="I374" s="26" t="str">
        <x:v>Qualidade / Administrador</x:v>
      </x:c>
    </x:row>
    <x:row r="375" ht="30" customHeight="1">
      <x:c r="A375" s="24" t="str">
        <x:v>FDS.04</x:v>
      </x:c>
      <x:c r="B375" s="25" t="str">
        <x:v>Qualidade</x:v>
      </x:c>
      <x:c r="C375" s="25" t="str">
        <x:v>Segurança dos Alimentos e Conformidade</x:v>
      </x:c>
      <x:c r="D375" s="18" t="str">
        <x:v>Alergênicos</x:v>
      </x:c>
      <x:c r="E375" s="18" t="str">
        <x:v>Contato cruzado</x:v>
      </x:c>
      <x:c r="F375" s="18" t="str">
        <x:v>Relacionar equipamento compartilhado, sequência de produção e limpeza validada.</x:v>
      </x:c>
      <x:c r="G375" s="26" t="str">
        <x:v>Evolução</x:v>
      </x:c>
      <x:c r="H375" s="26" t="str">
        <x:v>Importante</x:v>
      </x:c>
      <x:c r="I375" s="26" t="str">
        <x:v>Qualidade / Administrador</x:v>
      </x:c>
    </x:row>
    <x:row r="376" ht="30" customHeight="1">
      <x:c r="A376" s="24" t="str">
        <x:v>FDS.05</x:v>
      </x:c>
      <x:c r="B376" s="25" t="str">
        <x:v>Qualidade</x:v>
      </x:c>
      <x:c r="C376" s="25" t="str">
        <x:v>Segurança dos Alimentos e Conformidade</x:v>
      </x:c>
      <x:c r="D376" s="18" t="str">
        <x:v>Corpos estranhos</x:v>
      </x:c>
      <x:c r="E376" s="18" t="str">
        <x:v>Controle e ocorrência</x:v>
      </x:c>
      <x:c r="F376" s="18" t="str">
        <x:v>Registrar vidro, metal, plástico, embalagem danificada e ação de contenção.</x:v>
      </x:c>
      <x:c r="G376" s="26" t="str">
        <x:v>Evolução</x:v>
      </x:c>
      <x:c r="H376" s="26" t="str">
        <x:v>Importante</x:v>
      </x:c>
      <x:c r="I376" s="26" t="str">
        <x:v>Qualidade / Administrador</x:v>
      </x:c>
    </x:row>
    <x:row r="377" ht="30" customHeight="1">
      <x:c r="A377" s="24" t="str">
        <x:v>FDS.06</x:v>
      </x:c>
      <x:c r="B377" s="25" t="str">
        <x:v>Qualidade</x:v>
      </x:c>
      <x:c r="C377" s="25" t="str">
        <x:v>Segurança dos Alimentos e Conformidade</x:v>
      </x:c>
      <x:c r="D377" s="18" t="str">
        <x:v>Quarentena</x:v>
      </x:c>
      <x:c r="E377" s="18" t="str">
        <x:v>Bloquear lote</x:v>
      </x:c>
      <x:c r="F377" s="18" t="str">
        <x:v>Impedir transferência, envase ou expedição durante investigação.</x:v>
      </x:c>
      <x:c r="G377" s="26" t="str">
        <x:v>Evolução</x:v>
      </x:c>
      <x:c r="H377" s="26" t="str">
        <x:v>Importante</x:v>
      </x:c>
      <x:c r="I377" s="26" t="str">
        <x:v>Qualidade / Administrador</x:v>
      </x:c>
    </x:row>
    <x:row r="378" ht="30" customHeight="1">
      <x:c r="A378" s="24" t="str">
        <x:v>FDS.07</x:v>
      </x:c>
      <x:c r="B378" s="25" t="str">
        <x:v>Qualidade</x:v>
      </x:c>
      <x:c r="C378" s="25" t="str">
        <x:v>Segurança dos Alimentos e Conformidade</x:v>
      </x:c>
      <x:c r="D378" s="18" t="str">
        <x:v>Recall</x:v>
      </x:c>
      <x:c r="E378" s="18" t="str">
        <x:v>Rastreio para trás</x:v>
      </x:c>
      <x:c r="F378" s="18" t="str">
        <x:v>Localizar fornecedores, lotes de insumos, embalagens e controles usados.</x:v>
      </x:c>
      <x:c r="G378" s="26" t="str">
        <x:v>Evolução</x:v>
      </x:c>
      <x:c r="H378" s="26" t="str">
        <x:v>Importante</x:v>
      </x:c>
      <x:c r="I378" s="26" t="str">
        <x:v>Qualidade / Administrador</x:v>
      </x:c>
    </x:row>
    <x:row r="379" ht="30" customHeight="1">
      <x:c r="A379" s="24" t="str">
        <x:v>FDS.08</x:v>
      </x:c>
      <x:c r="B379" s="25" t="str">
        <x:v>Qualidade</x:v>
      </x:c>
      <x:c r="C379" s="25" t="str">
        <x:v>Segurança dos Alimentos e Conformidade</x:v>
      </x:c>
      <x:c r="D379" s="18" t="str">
        <x:v>Recall</x:v>
      </x:c>
      <x:c r="E379" s="18" t="str">
        <x:v>Rastreio para frente</x:v>
      </x:c>
      <x:c r="F379" s="18" t="str">
        <x:v>Localizar lotes de produto, unidades, clientes e destinos afetados.</x:v>
      </x:c>
      <x:c r="G379" s="26" t="str">
        <x:v>Evolução</x:v>
      </x:c>
      <x:c r="H379" s="26" t="str">
        <x:v>Importante</x:v>
      </x:c>
      <x:c r="I379" s="26" t="str">
        <x:v>Qualidade / Administrador</x:v>
      </x:c>
    </x:row>
    <x:row r="380" ht="30" customHeight="1">
      <x:c r="A380" s="24" t="str">
        <x:v>FDS.09</x:v>
      </x:c>
      <x:c r="B380" s="25" t="str">
        <x:v>Qualidade</x:v>
      </x:c>
      <x:c r="C380" s="25" t="str">
        <x:v>Segurança dos Alimentos e Conformidade</x:v>
      </x:c>
      <x:c r="D380" s="18" t="str">
        <x:v>Recall</x:v>
      </x:c>
      <x:c r="E380" s="18" t="str">
        <x:v>Simulado periódico</x:v>
      </x:c>
      <x:c r="F380" s="18" t="str">
        <x:v>Medir tempo, cobertura, falhas de dados e eficácia da comunicação.</x:v>
      </x:c>
      <x:c r="G380" s="26" t="str">
        <x:v>Evolução</x:v>
      </x:c>
      <x:c r="H380" s="26" t="str">
        <x:v>Importante</x:v>
      </x:c>
      <x:c r="I380" s="26" t="str">
        <x:v>Qualidade / Administrador</x:v>
      </x:c>
    </x:row>
    <x:row r="381" ht="30" customHeight="1">
      <x:c r="A381" s="24" t="str">
        <x:v>FDS.10</x:v>
      </x:c>
      <x:c r="B381" s="25" t="str">
        <x:v>Qualidade</x:v>
      </x:c>
      <x:c r="C381" s="25" t="str">
        <x:v>Segurança dos Alimentos e Conformidade</x:v>
      </x:c>
      <x:c r="D381" s="18" t="str">
        <x:v>Incidentes</x:v>
      </x:c>
      <x:c r="E381" s="18" t="str">
        <x:v>Plano de resposta</x:v>
      </x:c>
      <x:c r="F381" s="18" t="str">
        <x:v>Conter, investigar, preservar evidências, comunicar e encerrar formalmente.</x:v>
      </x:c>
      <x:c r="G381" s="26" t="str">
        <x:v>Evolução</x:v>
      </x:c>
      <x:c r="H381" s="26" t="str">
        <x:v>Importante</x:v>
      </x:c>
      <x:c r="I381" s="26" t="str">
        <x:v>Qualidade / Administrador</x:v>
      </x:c>
    </x:row>
    <x:row r="382" ht="30" customHeight="1">
      <x:c r="A382" s="24" t="str">
        <x:v>FDS.11</x:v>
      </x:c>
      <x:c r="B382" s="25" t="str">
        <x:v>Qualidade</x:v>
      </x:c>
      <x:c r="C382" s="25" t="str">
        <x:v>Segurança dos Alimentos e Conformidade</x:v>
      </x:c>
      <x:c r="D382" s="18" t="str">
        <x:v>CAPA</x:v>
      </x:c>
      <x:c r="E382" s="18" t="str">
        <x:v>Causa e ação</x:v>
      </x:c>
      <x:c r="F382" s="18" t="str">
        <x:v>Controlar causa raiz, correção, ação preventiva, prazo e verificação de eficácia.</x:v>
      </x:c>
      <x:c r="G382" s="26" t="str">
        <x:v>Evolução</x:v>
      </x:c>
      <x:c r="H382" s="26" t="str">
        <x:v>Importante</x:v>
      </x:c>
      <x:c r="I382" s="26" t="str">
        <x:v>Qualidade / Administrador</x:v>
      </x:c>
    </x:row>
    <x:row r="383" ht="30" customHeight="1">
      <x:c r="A383" s="24" t="str">
        <x:v>FDS.12</x:v>
      </x:c>
      <x:c r="B383" s="25" t="str">
        <x:v>Qualidade</x:v>
      </x:c>
      <x:c r="C383" s="25" t="str">
        <x:v>Segurança dos Alimentos e Conformidade</x:v>
      </x:c>
      <x:c r="D383" s="18" t="str">
        <x:v>Regulatório</x:v>
      </x:c>
      <x:c r="E383" s="18" t="str">
        <x:v>Regras versionadas</x:v>
      </x:c>
      <x:c r="F383" s="18" t="str">
        <x:v>Manter PIQ, registro, rotulagem e documentação por vigência e fonte oficial.</x:v>
      </x:c>
      <x:c r="G383" s="26" t="str">
        <x:v>Evolução</x:v>
      </x:c>
      <x:c r="H383" s="26" t="str">
        <x:v>Importante</x:v>
      </x:c>
      <x:c r="I383" s="26" t="str">
        <x:v>Qualidade / Administrador</x:v>
      </x:c>
    </x:row>
    <x:row r="384" ht="30" customHeight="1">
      <x:c r="A384" s="24" t="str">
        <x:v>FDS.13</x:v>
      </x:c>
      <x:c r="B384" s="25" t="str">
        <x:v>Qualidade</x:v>
      </x:c>
      <x:c r="C384" s="25" t="str">
        <x:v>Segurança dos Alimentos e Conformidade</x:v>
      </x:c>
      <x:c r="D384" s="18" t="str">
        <x:v>Rotulagem</x:v>
      </x:c>
      <x:c r="E384" s="18" t="str">
        <x:v>Validação automática</x:v>
      </x:c>
      <x:c r="F384" s="18" t="str">
        <x:v>Comparar receita, alergênicos, teor alcoólico, lote e textos obrigatórios com o rótulo.</x:v>
      </x:c>
      <x:c r="G384" s="26" t="str">
        <x:v>Evolução</x:v>
      </x:c>
      <x:c r="H384" s="26" t="str">
        <x:v>Importante</x:v>
      </x:c>
      <x:c r="I384" s="26" t="str">
        <x:v>Qualidade / Administrador</x:v>
      </x:c>
    </x:row>
    <x:row r="385" ht="30" customHeight="1">
      <x:c r="A385" s="24" t="str">
        <x:v>FDS.14</x:v>
      </x:c>
      <x:c r="B385" s="25" t="str">
        <x:v>Qualidade</x:v>
      </x:c>
      <x:c r="C385" s="25" t="str">
        <x:v>Segurança dos Alimentos e Conformidade</x:v>
      </x:c>
      <x:c r="D385" s="18" t="str">
        <x:v>Fiscalização</x:v>
      </x:c>
      <x:c r="E385" s="18" t="str">
        <x:v>Dossiê do lote</x:v>
      </x:c>
      <x:c r="F385" s="18" t="str">
        <x:v>Gerar documentos, aprovações, laudos, rastreabilidade e histórico para consulta.</x:v>
      </x:c>
      <x:c r="G385" s="26" t="str">
        <x:v>Evolução</x:v>
      </x:c>
      <x:c r="H385" s="26" t="str">
        <x:v>Importante</x:v>
      </x:c>
      <x:c r="I385" s="26" t="str">
        <x:v>Qualidade / Administrador</x:v>
      </x:c>
    </x:row>
    <x:row r="386" ht="30" customHeight="1">
      <x:c r="A386" s="24" t="str">
        <x:v>UTL.01</x:v>
      </x:c>
      <x:c r="B386" s="25" t="str">
        <x:v>Gestão</x:v>
      </x:c>
      <x:c r="C386" s="25" t="str">
        <x:v>Utilidades e Sustentabilidade</x:v>
      </x:c>
      <x:c r="D386" s="18" t="str">
        <x:v>Água</x:v>
      </x:c>
      <x:c r="E386" s="18" t="str">
        <x:v>Medição por área</x:v>
      </x:c>
      <x:c r="F386" s="18" t="str">
        <x:v>Registrar captação e consumo em produção, CIP, envase, frio e uso geral.</x:v>
      </x:c>
      <x:c r="G386" s="26" t="str">
        <x:v>Evolução</x:v>
      </x:c>
      <x:c r="H386" s="26" t="str">
        <x:v>Importante</x:v>
      </x:c>
      <x:c r="I386" s="26" t="str">
        <x:v>Administrador / Produção</x:v>
      </x:c>
    </x:row>
    <x:row r="387" ht="30" customHeight="1">
      <x:c r="A387" s="24" t="str">
        <x:v>UTL.02</x:v>
      </x:c>
      <x:c r="B387" s="25" t="str">
        <x:v>Gestão</x:v>
      </x:c>
      <x:c r="C387" s="25" t="str">
        <x:v>Utilidades e Sustentabilidade</x:v>
      </x:c>
      <x:c r="D387" s="18" t="str">
        <x:v>Água</x:v>
      </x:c>
      <x:c r="E387" s="18" t="str">
        <x:v>Indicador por litro</x:v>
      </x:c>
      <x:c r="F387" s="18" t="str">
        <x:v>Calcular água total e por processo para cada litro de cerveja envasada.</x:v>
      </x:c>
      <x:c r="G387" s="26" t="str">
        <x:v>Evolução</x:v>
      </x:c>
      <x:c r="H387" s="26" t="str">
        <x:v>Importante</x:v>
      </x:c>
      <x:c r="I387" s="26" t="str">
        <x:v>Administrador / Produção</x:v>
      </x:c>
    </x:row>
    <x:row r="388" ht="30" customHeight="1">
      <x:c r="A388" s="24" t="str">
        <x:v>UTL.03</x:v>
      </x:c>
      <x:c r="B388" s="25" t="str">
        <x:v>Gestão</x:v>
      </x:c>
      <x:c r="C388" s="25" t="str">
        <x:v>Utilidades e Sustentabilidade</x:v>
      </x:c>
      <x:c r="D388" s="18" t="str">
        <x:v>Energia</x:v>
      </x:c>
      <x:c r="E388" s="18" t="str">
        <x:v>Medição por equipamento</x:v>
      </x:c>
      <x:c r="F388" s="18" t="str">
        <x:v>Registrar eletricidade, gás e demanda da panela, frio, bomba e envase.</x:v>
      </x:c>
      <x:c r="G388" s="26" t="str">
        <x:v>Evolução</x:v>
      </x:c>
      <x:c r="H388" s="26" t="str">
        <x:v>Importante</x:v>
      </x:c>
      <x:c r="I388" s="26" t="str">
        <x:v>Administrador / Produção</x:v>
      </x:c>
    </x:row>
    <x:row r="389" ht="30" customHeight="1">
      <x:c r="A389" s="24" t="str">
        <x:v>UTL.04</x:v>
      </x:c>
      <x:c r="B389" s="25" t="str">
        <x:v>Gestão</x:v>
      </x:c>
      <x:c r="C389" s="25" t="str">
        <x:v>Utilidades e Sustentabilidade</x:v>
      </x:c>
      <x:c r="D389" s="18" t="str">
        <x:v>CO₂</x:v>
      </x:c>
      <x:c r="E389" s="18" t="str">
        <x:v>Consumo por uso</x:v>
      </x:c>
      <x:c r="F389" s="18" t="str">
        <x:v>Separar carbonatação, purga, transferência, envase e perdas.</x:v>
      </x:c>
      <x:c r="G389" s="26" t="str">
        <x:v>Evolução</x:v>
      </x:c>
      <x:c r="H389" s="26" t="str">
        <x:v>Importante</x:v>
      </x:c>
      <x:c r="I389" s="26" t="str">
        <x:v>Administrador / Produção</x:v>
      </x:c>
    </x:row>
    <x:row r="390" ht="30" customHeight="1">
      <x:c r="A390" s="24" t="str">
        <x:v>UTL.05</x:v>
      </x:c>
      <x:c r="B390" s="25" t="str">
        <x:v>Gestão</x:v>
      </x:c>
      <x:c r="C390" s="25" t="str">
        <x:v>Utilidades e Sustentabilidade</x:v>
      </x:c>
      <x:c r="D390" s="18" t="str">
        <x:v>Efluente</x:v>
      </x:c>
      <x:c r="E390" s="18" t="str">
        <x:v>Volume e características</x:v>
      </x:c>
      <x:c r="F390" s="18" t="str">
        <x:v>Registrar pH, temperatura, sólidos, carga estimada e destino.</x:v>
      </x:c>
      <x:c r="G390" s="26" t="str">
        <x:v>Evolução</x:v>
      </x:c>
      <x:c r="H390" s="26" t="str">
        <x:v>Importante</x:v>
      </x:c>
      <x:c r="I390" s="26" t="str">
        <x:v>Administrador / Produção</x:v>
      </x:c>
    </x:row>
    <x:row r="391" ht="30" customHeight="1">
      <x:c r="A391" s="24" t="str">
        <x:v>UTL.06</x:v>
      </x:c>
      <x:c r="B391" s="25" t="str">
        <x:v>Gestão</x:v>
      </x:c>
      <x:c r="C391" s="25" t="str">
        <x:v>Utilidades e Sustentabilidade</x:v>
      </x:c>
      <x:c r="D391" s="18" t="str">
        <x:v>Subprodutos</x:v>
      </x:c>
      <x:c r="E391" s="18" t="str">
        <x:v>Bagaço e levedura</x:v>
      </x:c>
      <x:c r="F391" s="18" t="str">
        <x:v>Controlar quantidade, armazenamento, doação, venda ou descarte.</x:v>
      </x:c>
      <x:c r="G391" s="26" t="str">
        <x:v>Evolução</x:v>
      </x:c>
      <x:c r="H391" s="26" t="str">
        <x:v>Importante</x:v>
      </x:c>
      <x:c r="I391" s="26" t="str">
        <x:v>Administrador / Produção</x:v>
      </x:c>
    </x:row>
    <x:row r="392" ht="30" customHeight="1">
      <x:c r="A392" s="24" t="str">
        <x:v>UTL.07</x:v>
      </x:c>
      <x:c r="B392" s="25" t="str">
        <x:v>Gestão</x:v>
      </x:c>
      <x:c r="C392" s="25" t="str">
        <x:v>Utilidades e Sustentabilidade</x:v>
      </x:c>
      <x:c r="D392" s="18" t="str">
        <x:v>Embalagens</x:v>
      </x:c>
      <x:c r="E392" s="18" t="str">
        <x:v>Resíduos</x:v>
      </x:c>
      <x:c r="F392" s="18" t="str">
        <x:v>Registrar vidro, lata, papelão, plástico e taxa de recuperação.</x:v>
      </x:c>
      <x:c r="G392" s="26" t="str">
        <x:v>Evolução</x:v>
      </x:c>
      <x:c r="H392" s="26" t="str">
        <x:v>Importante</x:v>
      </x:c>
      <x:c r="I392" s="26" t="str">
        <x:v>Administrador / Produção</x:v>
      </x:c>
    </x:row>
    <x:row r="393" ht="30" customHeight="1">
      <x:c r="A393" s="24" t="str">
        <x:v>UTL.08</x:v>
      </x:c>
      <x:c r="B393" s="25" t="str">
        <x:v>Gestão</x:v>
      </x:c>
      <x:c r="C393" s="25" t="str">
        <x:v>Utilidades e Sustentabilidade</x:v>
      </x:c>
      <x:c r="D393" s="18" t="str">
        <x:v>CIP</x:v>
      </x:c>
      <x:c r="E393" s="18" t="str">
        <x:v>Eficiência do ciclo</x:v>
      </x:c>
      <x:c r="F393" s="18" t="str">
        <x:v>Comparar água, química, energia e resultado de sanitização.</x:v>
      </x:c>
      <x:c r="G393" s="26" t="str">
        <x:v>Evolução</x:v>
      </x:c>
      <x:c r="H393" s="26" t="str">
        <x:v>Importante</x:v>
      </x:c>
      <x:c r="I393" s="26" t="str">
        <x:v>Administrador / Produção</x:v>
      </x:c>
    </x:row>
    <x:row r="394" ht="30" customHeight="1">
      <x:c r="A394" s="24" t="str">
        <x:v>UTL.09</x:v>
      </x:c>
      <x:c r="B394" s="25" t="str">
        <x:v>Gestão</x:v>
      </x:c>
      <x:c r="C394" s="25" t="str">
        <x:v>Utilidades e Sustentabilidade</x:v>
      </x:c>
      <x:c r="D394" s="18" t="str">
        <x:v>Recuperação</x:v>
      </x:c>
      <x:c r="E394" s="18" t="str">
        <x:v>Reuso seguro</x:v>
      </x:c>
      <x:c r="F394" s="18" t="str">
        <x:v>Planejar água de último enxágue, condensado ou calor quando tecnicamente permitido.</x:v>
      </x:c>
      <x:c r="G394" s="26" t="str">
        <x:v>Evolução</x:v>
      </x:c>
      <x:c r="H394" s="26" t="str">
        <x:v>Importante</x:v>
      </x:c>
      <x:c r="I394" s="26" t="str">
        <x:v>Administrador / Produção</x:v>
      </x:c>
    </x:row>
    <x:row r="395" ht="30" customHeight="1">
      <x:c r="A395" s="24" t="str">
        <x:v>UTL.10</x:v>
      </x:c>
      <x:c r="B395" s="25" t="str">
        <x:v>Gestão</x:v>
      </x:c>
      <x:c r="C395" s="25" t="str">
        <x:v>Utilidades e Sustentabilidade</x:v>
      </x:c>
      <x:c r="D395" s="18" t="str">
        <x:v>Carbono</x:v>
      </x:c>
      <x:c r="E395" s="18" t="str">
        <x:v>Inventário simplificado</x:v>
      </x:c>
      <x:c r="F395" s="18" t="str">
        <x:v>Estimar emissões de energia, gás, refrigeração, insumos e transporte.</x:v>
      </x:c>
      <x:c r="G395" s="26" t="str">
        <x:v>Evolução</x:v>
      </x:c>
      <x:c r="H395" s="26" t="str">
        <x:v>Importante</x:v>
      </x:c>
      <x:c r="I395" s="26" t="str">
        <x:v>Administrador / Produção</x:v>
      </x:c>
    </x:row>
    <x:row r="396" ht="30" customHeight="1">
      <x:c r="A396" s="24" t="str">
        <x:v>UTL.11</x:v>
      </x:c>
      <x:c r="B396" s="25" t="str">
        <x:v>Gestão</x:v>
      </x:c>
      <x:c r="C396" s="25" t="str">
        <x:v>Utilidades e Sustentabilidade</x:v>
      </x:c>
      <x:c r="D396" s="18" t="str">
        <x:v>Metas</x:v>
      </x:c>
      <x:c r="E396" s="18" t="str">
        <x:v>Redução e acompanhamento</x:v>
      </x:c>
      <x:c r="F396" s="18" t="str">
        <x:v>Definir meta, baseline, responsável, economia e prazo.</x:v>
      </x:c>
      <x:c r="G396" s="26" t="str">
        <x:v>Evolução</x:v>
      </x:c>
      <x:c r="H396" s="26" t="str">
        <x:v>Importante</x:v>
      </x:c>
      <x:c r="I396" s="26" t="str">
        <x:v>Administrador / Produção</x:v>
      </x:c>
    </x:row>
    <x:row r="397" ht="30" customHeight="1">
      <x:c r="A397" s="24" t="str">
        <x:v>UTL.12</x:v>
      </x:c>
      <x:c r="B397" s="25" t="str">
        <x:v>Gestão</x:v>
      </x:c>
      <x:c r="C397" s="25" t="str">
        <x:v>Utilidades e Sustentabilidade</x:v>
      </x:c>
      <x:c r="D397" s="18" t="str">
        <x:v>Alertas</x:v>
      </x:c>
      <x:c r="E397" s="18" t="str">
        <x:v>Consumo anormal</x:v>
      </x:c>
      <x:c r="F397" s="18" t="str">
        <x:v>Detectar vazamento, ciclo excessivo, equipamento ineficiente ou leitura ausente.</x:v>
      </x:c>
      <x:c r="G397" s="26" t="str">
        <x:v>Evolução</x:v>
      </x:c>
      <x:c r="H397" s="26" t="str">
        <x:v>Importante</x:v>
      </x:c>
      <x:c r="I397" s="26" t="str">
        <x:v>Administrador / Produção</x:v>
      </x:c>
    </x:row>
    <x:row r="398" ht="30" customHeight="1">
      <x:c r="A398" s="24" t="str">
        <x:v>EXP.01</x:v>
      </x:c>
      <x:c r="B398" s="25" t="str">
        <x:v>Planejamento</x:v>
      </x:c>
      <x:c r="C398" s="25" t="str">
        <x:v>Experimentação e Otimização de Receitas</x:v>
      </x:c>
      <x:c r="D398" s="18" t="str">
        <x:v>Hipótese</x:v>
      </x:c>
      <x:c r="E398" s="18" t="str">
        <x:v>Definir objetivo</x:v>
      </x:c>
      <x:c r="F398" s="18" t="str">
        <x:v>Registrar pergunta, variável, resultado esperado e critério de sucesso.</x:v>
      </x:c>
      <x:c r="G398" s="26" t="str">
        <x:v>Evolução</x:v>
      </x:c>
      <x:c r="H398" s="26" t="str">
        <x:v>Avançado</x:v>
      </x:c>
      <x:c r="I398" s="26" t="str">
        <x:v>Cervejeiro / Avaliador</x:v>
      </x:c>
    </x:row>
    <x:row r="399" ht="30" customHeight="1">
      <x:c r="A399" s="24" t="str">
        <x:v>EXP.02</x:v>
      </x:c>
      <x:c r="B399" s="25" t="str">
        <x:v>Planejamento</x:v>
      </x:c>
      <x:c r="C399" s="25" t="str">
        <x:v>Experimentação e Otimização de Receitas</x:v>
      </x:c>
      <x:c r="D399" s="18" t="str">
        <x:v>Desenho</x:v>
      </x:c>
      <x:c r="E399" s="18" t="str">
        <x:v>Lote dividido</x:v>
      </x:c>
      <x:c r="F399" s="18" t="str">
        <x:v>Planejar divisão do mosto, fermentadores, tratamentos e volumes.</x:v>
      </x:c>
      <x:c r="G399" s="26" t="str">
        <x:v>Evolução</x:v>
      </x:c>
      <x:c r="H399" s="26" t="str">
        <x:v>Avançado</x:v>
      </x:c>
      <x:c r="I399" s="26" t="str">
        <x:v>Cervejeiro / Avaliador</x:v>
      </x:c>
    </x:row>
    <x:row r="400" ht="30" customHeight="1">
      <x:c r="A400" s="24" t="str">
        <x:v>EXP.03</x:v>
      </x:c>
      <x:c r="B400" s="25" t="str">
        <x:v>Planejamento</x:v>
      </x:c>
      <x:c r="C400" s="25" t="str">
        <x:v>Experimentação e Otimização de Receitas</x:v>
      </x:c>
      <x:c r="D400" s="18" t="str">
        <x:v>Desenho</x:v>
      </x:c>
      <x:c r="E400" s="18" t="str">
        <x:v>Controle e variante</x:v>
      </x:c>
      <x:c r="F400" s="18" t="str">
        <x:v>Manter uma referência e alterar somente as variáveis selecionadas.</x:v>
      </x:c>
      <x:c r="G400" s="26" t="str">
        <x:v>Evolução</x:v>
      </x:c>
      <x:c r="H400" s="26" t="str">
        <x:v>Avançado</x:v>
      </x:c>
      <x:c r="I400" s="26" t="str">
        <x:v>Cervejeiro / Avaliador</x:v>
      </x:c>
    </x:row>
    <x:row r="401" ht="30" customHeight="1">
      <x:c r="A401" s="24" t="str">
        <x:v>EXP.04</x:v>
      </x:c>
      <x:c r="B401" s="25" t="str">
        <x:v>Planejamento</x:v>
      </x:c>
      <x:c r="C401" s="25" t="str">
        <x:v>Experimentação e Otimização de Receitas</x:v>
      </x:c>
      <x:c r="D401" s="18" t="str">
        <x:v>Variáveis</x:v>
      </x:c>
      <x:c r="E401" s="18" t="str">
        <x:v>Ingredientes</x:v>
      </x:c>
      <x:c r="F401" s="18" t="str">
        <x:v>Testar variedade, fornecedor, lote, dose, momento e forma de adição.</x:v>
      </x:c>
      <x:c r="G401" s="26" t="str">
        <x:v>Evolução</x:v>
      </x:c>
      <x:c r="H401" s="26" t="str">
        <x:v>Avançado</x:v>
      </x:c>
      <x:c r="I401" s="26" t="str">
        <x:v>Cervejeiro / Avaliador</x:v>
      </x:c>
    </x:row>
    <x:row r="402" ht="30" customHeight="1">
      <x:c r="A402" s="24" t="str">
        <x:v>EXP.05</x:v>
      </x:c>
      <x:c r="B402" s="25" t="str">
        <x:v>Planejamento</x:v>
      </x:c>
      <x:c r="C402" s="25" t="str">
        <x:v>Experimentação e Otimização de Receitas</x:v>
      </x:c>
      <x:c r="D402" s="18" t="str">
        <x:v>Variáveis</x:v>
      </x:c>
      <x:c r="E402" s="18" t="str">
        <x:v>Processo</x:v>
      </x:c>
      <x:c r="F402" s="18" t="str">
        <x:v>Testar água, temperatura, pressão, tempo, fermentação, dry hop ou envase.</x:v>
      </x:c>
      <x:c r="G402" s="26" t="str">
        <x:v>Evolução</x:v>
      </x:c>
      <x:c r="H402" s="26" t="str">
        <x:v>Avançado</x:v>
      </x:c>
      <x:c r="I402" s="26" t="str">
        <x:v>Cervejeiro / Avaliador</x:v>
      </x:c>
    </x:row>
    <x:row r="403" ht="30" customHeight="1">
      <x:c r="A403" s="24" t="str">
        <x:v>EXP.06</x:v>
      </x:c>
      <x:c r="B403" s="25" t="str">
        <x:v>Planejamento</x:v>
      </x:c>
      <x:c r="C403" s="25" t="str">
        <x:v>Experimentação e Otimização de Receitas</x:v>
      </x:c>
      <x:c r="D403" s="18" t="str">
        <x:v>Execução</x:v>
      </x:c>
      <x:c r="E403" s="18" t="str">
        <x:v>Aleatorização e cegamento</x:v>
      </x:c>
      <x:c r="F403" s="18" t="str">
        <x:v>Gerar códigos de amostra e ordem de serviço sensorial.</x:v>
      </x:c>
      <x:c r="G403" s="26" t="str">
        <x:v>Evolução</x:v>
      </x:c>
      <x:c r="H403" s="26" t="str">
        <x:v>Avançado</x:v>
      </x:c>
      <x:c r="I403" s="26" t="str">
        <x:v>Cervejeiro / Avaliador</x:v>
      </x:c>
    </x:row>
    <x:row r="404" ht="30" customHeight="1">
      <x:c r="A404" s="24" t="str">
        <x:v>EXP.07</x:v>
      </x:c>
      <x:c r="B404" s="25" t="str">
        <x:v>Planejamento</x:v>
      </x:c>
      <x:c r="C404" s="25" t="str">
        <x:v>Experimentação e Otimização de Receitas</x:v>
      </x:c>
      <x:c r="D404" s="18" t="str">
        <x:v>Medições</x:v>
      </x:c>
      <x:c r="E404" s="18" t="str">
        <x:v>Plano de coleta</x:v>
      </x:c>
      <x:c r="F404" s="18" t="str">
        <x:v>Definir parâmetros, frequência, instrumento e janela de análise.</x:v>
      </x:c>
      <x:c r="G404" s="26" t="str">
        <x:v>Evolução</x:v>
      </x:c>
      <x:c r="H404" s="26" t="str">
        <x:v>Avançado</x:v>
      </x:c>
      <x:c r="I404" s="26" t="str">
        <x:v>Cervejeiro / Avaliador</x:v>
      </x:c>
    </x:row>
    <x:row r="405" ht="30" customHeight="1">
      <x:c r="A405" s="24" t="str">
        <x:v>EXP.08</x:v>
      </x:c>
      <x:c r="B405" s="25" t="str">
        <x:v>Planejamento</x:v>
      </x:c>
      <x:c r="C405" s="25" t="str">
        <x:v>Experimentação e Otimização de Receitas</x:v>
      </x:c>
      <x:c r="D405" s="18" t="str">
        <x:v>Sensorial</x:v>
      </x:c>
      <x:c r="E405" s="18" t="str">
        <x:v>Comparação estruturada</x:v>
      </x:c>
      <x:c r="F405" s="18" t="str">
        <x:v>Aplicar teste triangular, preferência, intensidade e descritores.</x:v>
      </x:c>
      <x:c r="G405" s="26" t="str">
        <x:v>Evolução</x:v>
      </x:c>
      <x:c r="H405" s="26" t="str">
        <x:v>Avançado</x:v>
      </x:c>
      <x:c r="I405" s="26" t="str">
        <x:v>Cervejeiro / Avaliador</x:v>
      </x:c>
    </x:row>
    <x:row r="406" ht="30" customHeight="1">
      <x:c r="A406" s="24" t="str">
        <x:v>EXP.09</x:v>
      </x:c>
      <x:c r="B406" s="25" t="str">
        <x:v>Planejamento</x:v>
      </x:c>
      <x:c r="C406" s="25" t="str">
        <x:v>Experimentação e Otimização de Receitas</x:v>
      </x:c>
      <x:c r="D406" s="18" t="str">
        <x:v>Resultado</x:v>
      </x:c>
      <x:c r="E406" s="18" t="str">
        <x:v>Análise da hipótese</x:v>
      </x:c>
      <x:c r="F406" s="18" t="str">
        <x:v>Comparar dados, incerteza, limitações e relevância prática.</x:v>
      </x:c>
      <x:c r="G406" s="26" t="str">
        <x:v>Evolução</x:v>
      </x:c>
      <x:c r="H406" s="26" t="str">
        <x:v>Avançado</x:v>
      </x:c>
      <x:c r="I406" s="26" t="str">
        <x:v>Cervejeiro / Avaliador</x:v>
      </x:c>
    </x:row>
    <x:row r="407" ht="30" customHeight="1">
      <x:c r="A407" s="24" t="str">
        <x:v>EXP.10</x:v>
      </x:c>
      <x:c r="B407" s="25" t="str">
        <x:v>Planejamento</x:v>
      </x:c>
      <x:c r="C407" s="25" t="str">
        <x:v>Experimentação e Otimização de Receitas</x:v>
      </x:c>
      <x:c r="D407" s="18" t="str">
        <x:v>Aprendizado</x:v>
      </x:c>
      <x:c r="E407" s="18" t="str">
        <x:v>Decisão documentada</x:v>
      </x:c>
      <x:c r="F407" s="18" t="str">
        <x:v>Aceitar, rejeitar ou repetir hipótese com justificativa.</x:v>
      </x:c>
      <x:c r="G407" s="26" t="str">
        <x:v>Evolução</x:v>
      </x:c>
      <x:c r="H407" s="26" t="str">
        <x:v>Avançado</x:v>
      </x:c>
      <x:c r="I407" s="26" t="str">
        <x:v>Cervejeiro / Avaliador</x:v>
      </x:c>
    </x:row>
    <x:row r="408" ht="30" customHeight="1">
      <x:c r="A408" s="24" t="str">
        <x:v>EXP.11</x:v>
      </x:c>
      <x:c r="B408" s="25" t="str">
        <x:v>Planejamento</x:v>
      </x:c>
      <x:c r="C408" s="25" t="str">
        <x:v>Experimentação e Otimização de Receitas</x:v>
      </x:c>
      <x:c r="D408" s="18" t="str">
        <x:v>Receita</x:v>
      </x:c>
      <x:c r="E408" s="18" t="str">
        <x:v>Gerar versão candidata</x:v>
      </x:c>
      <x:c r="F408" s="18" t="str">
        <x:v>Criar nova versão usando apenas alterações aprovadas.</x:v>
      </x:c>
      <x:c r="G408" s="26" t="str">
        <x:v>Evolução</x:v>
      </x:c>
      <x:c r="H408" s="26" t="str">
        <x:v>Avançado</x:v>
      </x:c>
      <x:c r="I408" s="26" t="str">
        <x:v>Cervejeiro / Avaliador</x:v>
      </x:c>
    </x:row>
    <x:row r="409" ht="30" customHeight="1">
      <x:c r="A409" s="24" t="str">
        <x:v>EXP.12</x:v>
      </x:c>
      <x:c r="B409" s="25" t="str">
        <x:v>Planejamento</x:v>
      </x:c>
      <x:c r="C409" s="25" t="str">
        <x:v>Experimentação e Otimização de Receitas</x:v>
      </x:c>
      <x:c r="D409" s="18" t="str">
        <x:v>Otimização</x:v>
      </x:c>
      <x:c r="E409" s="18" t="str">
        <x:v>Solver de receita</x:v>
      </x:c>
      <x:c r="F409" s="18" t="str">
        <x:v>Buscar alternativas por estilo, estoque, frescor, custo e capacidade.</x:v>
      </x:c>
      <x:c r="G409" s="26" t="str">
        <x:v>Evolução</x:v>
      </x:c>
      <x:c r="H409" s="26" t="str">
        <x:v>Avançado</x:v>
      </x:c>
      <x:c r="I409" s="26" t="str">
        <x:v>Cervejeiro / Avaliador</x:v>
      </x:c>
    </x:row>
    <x:row r="410" ht="30" customHeight="1">
      <x:c r="A410" s="24" t="str">
        <x:v>GAS.01</x:v>
      </x:c>
      <x:c r="B410" s="25" t="str">
        <x:v>Suprimentos</x:v>
      </x:c>
      <x:c r="C410" s="25" t="str">
        <x:v>CO₂ e Gases de Processo</x:v>
      </x:c>
      <x:c r="D410" s="18" t="str">
        <x:v>Cilindros</x:v>
      </x:c>
      <x:c r="E410" s="18" t="str">
        <x:v>Cadastro e rastreio</x:v>
      </x:c>
      <x:c r="F410" s="18" t="str">
        <x:v>Registrar gás, pureza, fornecedor, número, capacidade, tara e validade do teste.</x:v>
      </x:c>
      <x:c r="G410" s="26" t="str">
        <x:v>MVP 3</x:v>
      </x:c>
      <x:c r="H410" s="26" t="str">
        <x:v>Importante</x:v>
      </x:c>
      <x:c r="I410" s="26" t="str">
        <x:v>Produção / Estoque</x:v>
      </x:c>
    </x:row>
    <x:row r="411" ht="30" customHeight="1">
      <x:c r="A411" s="24" t="str">
        <x:v>GAS.02</x:v>
      </x:c>
      <x:c r="B411" s="25" t="str">
        <x:v>Suprimentos</x:v>
      </x:c>
      <x:c r="C411" s="25" t="str">
        <x:v>CO₂ e Gases de Processo</x:v>
      </x:c>
      <x:c r="D411" s="18" t="str">
        <x:v>Recarga</x:v>
      </x:c>
      <x:c r="E411" s="18" t="str">
        <x:v>Entrada e custo</x:v>
      </x:c>
      <x:c r="F411" s="18" t="str">
        <x:v>Registrar data, peso, lote/certificado, custo e fornecedor.</x:v>
      </x:c>
      <x:c r="G411" s="26" t="str">
        <x:v>MVP 3</x:v>
      </x:c>
      <x:c r="H411" s="26" t="str">
        <x:v>Importante</x:v>
      </x:c>
      <x:c r="I411" s="26" t="str">
        <x:v>Produção / Estoque</x:v>
      </x:c>
    </x:row>
    <x:row r="412" ht="30" customHeight="1">
      <x:c r="A412" s="24" t="str">
        <x:v>GAS.03</x:v>
      </x:c>
      <x:c r="B412" s="25" t="str">
        <x:v>Suprimentos</x:v>
      </x:c>
      <x:c r="C412" s="25" t="str">
        <x:v>CO₂ e Gases de Processo</x:v>
      </x:c>
      <x:c r="D412" s="18" t="str">
        <x:v>Rede</x:v>
      </x:c>
      <x:c r="E412" s="18" t="str">
        <x:v>Reguladores e manifold</x:v>
      </x:c>
      <x:c r="F412" s="18" t="str">
        <x:v>Mapear cilindro, reguladores, saídas, linhas, pressão e equipamento atendido.</x:v>
      </x:c>
      <x:c r="G412" s="26" t="str">
        <x:v>MVP 3</x:v>
      </x:c>
      <x:c r="H412" s="26" t="str">
        <x:v>Importante</x:v>
      </x:c>
      <x:c r="I412" s="26" t="str">
        <x:v>Produção / Estoque</x:v>
      </x:c>
    </x:row>
    <x:row r="413" ht="30" customHeight="1">
      <x:c r="A413" s="24" t="str">
        <x:v>GAS.04</x:v>
      </x:c>
      <x:c r="B413" s="25" t="str">
        <x:v>Suprimentos</x:v>
      </x:c>
      <x:c r="C413" s="25" t="str">
        <x:v>CO₂ e Gases de Processo</x:v>
      </x:c>
      <x:c r="D413" s="18" t="str">
        <x:v>Consumo</x:v>
      </x:c>
      <x:c r="E413" s="18" t="str">
        <x:v>Apontamento por operação</x:v>
      </x:c>
      <x:c r="F413" s="18" t="str">
        <x:v>Medir ou estimar purga, carbonatação, transferência e envase.</x:v>
      </x:c>
      <x:c r="G413" s="26" t="str">
        <x:v>MVP 3</x:v>
      </x:c>
      <x:c r="H413" s="26" t="str">
        <x:v>Importante</x:v>
      </x:c>
      <x:c r="I413" s="26" t="str">
        <x:v>Produção / Estoque</x:v>
      </x:c>
    </x:row>
    <x:row r="414" ht="30" customHeight="1">
      <x:c r="A414" s="24" t="str">
        <x:v>GAS.05</x:v>
      </x:c>
      <x:c r="B414" s="25" t="str">
        <x:v>Suprimentos</x:v>
      </x:c>
      <x:c r="C414" s="25" t="str">
        <x:v>CO₂ e Gases de Processo</x:v>
      </x:c>
      <x:c r="D414" s="18" t="str">
        <x:v>Estoque</x:v>
      </x:c>
      <x:c r="E414" s="18" t="str">
        <x:v>Saldo e autonomia</x:v>
      </x:c>
      <x:c r="F414" s="18" t="str">
        <x:v>Calcular massa disponível e previsão de consumo.</x:v>
      </x:c>
      <x:c r="G414" s="26" t="str">
        <x:v>MVP 3</x:v>
      </x:c>
      <x:c r="H414" s="26" t="str">
        <x:v>Importante</x:v>
      </x:c>
      <x:c r="I414" s="26" t="str">
        <x:v>Produção / Estoque</x:v>
      </x:c>
    </x:row>
    <x:row r="415" ht="30" customHeight="1">
      <x:c r="A415" s="24" t="str">
        <x:v>GAS.06</x:v>
      </x:c>
      <x:c r="B415" s="25" t="str">
        <x:v>Suprimentos</x:v>
      </x:c>
      <x:c r="C415" s="25" t="str">
        <x:v>CO₂ e Gases de Processo</x:v>
      </x:c>
      <x:c r="D415" s="18" t="str">
        <x:v>Vazamento</x:v>
      </x:c>
      <x:c r="E415" s="18" t="str">
        <x:v>Teste e ocorrência</x:v>
      </x:c>
      <x:c r="F415" s="18" t="str">
        <x:v>Programar teste, registrar queda de pressão, localização e reparo.</x:v>
      </x:c>
      <x:c r="G415" s="26" t="str">
        <x:v>MVP 3</x:v>
      </x:c>
      <x:c r="H415" s="26" t="str">
        <x:v>Importante</x:v>
      </x:c>
      <x:c r="I415" s="26" t="str">
        <x:v>Produção / Estoque</x:v>
      </x:c>
    </x:row>
    <x:row r="416" ht="30" customHeight="1">
      <x:c r="A416" s="24" t="str">
        <x:v>GAS.07</x:v>
      </x:c>
      <x:c r="B416" s="25" t="str">
        <x:v>Suprimentos</x:v>
      </x:c>
      <x:c r="C416" s="25" t="str">
        <x:v>CO₂ e Gases de Processo</x:v>
      </x:c>
      <x:c r="D416" s="18" t="str">
        <x:v>Segurança</x:v>
      </x:c>
      <x:c r="E416" s="18" t="str">
        <x:v>Limites e ventilação</x:v>
      </x:c>
      <x:c r="F416" s="18" t="str">
        <x:v>Cadastrar área, detector, ventilação, risco de asfixia e inspeções.</x:v>
      </x:c>
      <x:c r="G416" s="26" t="str">
        <x:v>MVP 3</x:v>
      </x:c>
      <x:c r="H416" s="26" t="str">
        <x:v>Importante</x:v>
      </x:c>
      <x:c r="I416" s="26" t="str">
        <x:v>Produção / Estoque</x:v>
      </x:c>
    </x:row>
    <x:row r="417" ht="30" customHeight="1">
      <x:c r="A417" s="24" t="str">
        <x:v>GAS.08</x:v>
      </x:c>
      <x:c r="B417" s="25" t="str">
        <x:v>Suprimentos</x:v>
      </x:c>
      <x:c r="C417" s="25" t="str">
        <x:v>CO₂ e Gases de Processo</x:v>
      </x:c>
      <x:c r="D417" s="18" t="str">
        <x:v>Qualidade</x:v>
      </x:c>
      <x:c r="E417" s="18" t="str">
        <x:v>Certificado do gás</x:v>
      </x:c>
      <x:c r="F417" s="18" t="str">
        <x:v>Relacionar pureza, contaminantes e lote aos produtos atendidos.</x:v>
      </x:c>
      <x:c r="G417" s="26" t="str">
        <x:v>MVP 3</x:v>
      </x:c>
      <x:c r="H417" s="26" t="str">
        <x:v>Importante</x:v>
      </x:c>
      <x:c r="I417" s="26" t="str">
        <x:v>Produção / Estoque</x:v>
      </x:c>
    </x:row>
    <x:row r="418" ht="30" customHeight="1">
      <x:c r="A418" s="24" t="str">
        <x:v>GAS.09</x:v>
      </x:c>
      <x:c r="B418" s="25" t="str">
        <x:v>Suprimentos</x:v>
      </x:c>
      <x:c r="C418" s="25" t="str">
        <x:v>CO₂ e Gases de Processo</x:v>
      </x:c>
      <x:c r="D418" s="18" t="str">
        <x:v>Misturas</x:v>
      </x:c>
      <x:c r="E418" s="18" t="str">
        <x:v>Blend de gases</x:v>
      </x:c>
      <x:c r="F418" s="18" t="str">
        <x:v>Controlar composição, aplicação, fornecedor e compatibilidade.</x:v>
      </x:c>
      <x:c r="G418" s="26" t="str">
        <x:v>MVP 3</x:v>
      </x:c>
      <x:c r="H418" s="26" t="str">
        <x:v>Importante</x:v>
      </x:c>
      <x:c r="I418" s="26" t="str">
        <x:v>Produção / Estoque</x:v>
      </x:c>
    </x:row>
    <x:row r="419" ht="30" customHeight="1">
      <x:c r="A419" s="24" t="str">
        <x:v>GAS.10</x:v>
      </x:c>
      <x:c r="B419" s="25" t="str">
        <x:v>Suprimentos</x:v>
      </x:c>
      <x:c r="C419" s="25" t="str">
        <x:v>CO₂ e Gases de Processo</x:v>
      </x:c>
      <x:c r="D419" s="18" t="str">
        <x:v>Indicadores</x:v>
      </x:c>
      <x:c r="E419" s="18" t="str">
        <x:v>Gás por litro</x:v>
      </x:c>
      <x:c r="F419" s="18" t="str">
        <x:v>Comparar consumo previsto e real por lote, equipamento e operação.</x:v>
      </x:c>
      <x:c r="G419" s="26" t="str">
        <x:v>MVP 3</x:v>
      </x:c>
      <x:c r="H419" s="26" t="str">
        <x:v>Importante</x:v>
      </x:c>
      <x:c r="I419" s="26" t="str">
        <x:v>Produção / Estoque</x:v>
      </x:c>
    </x:row>
    <x:row r="420" ht="30" customHeight="1">
      <x:c r="A420" s="24" t="str">
        <x:v>BLD.01</x:v>
      </x:c>
      <x:c r="B420" s="25" t="str">
        <x:v>Produção</x:v>
      </x:c>
      <x:c r="C420" s="25" t="str">
        <x:v>Blend, Reprocesso e Genealogia</x:v>
      </x:c>
      <x:c r="D420" s="18" t="str">
        <x:v>Blend</x:v>
      </x:c>
      <x:c r="E420" s="18" t="str">
        <x:v>Planejar mistura</x:v>
      </x:c>
      <x:c r="F420" s="18" t="str">
        <x:v>Selecionar lotes, volumes, metas e impacto previsto em ABV, cor, IBU e custo.</x:v>
      </x:c>
      <x:c r="G420" s="26" t="str">
        <x:v>Evolução</x:v>
      </x:c>
      <x:c r="H420" s="26" t="str">
        <x:v>Importante</x:v>
      </x:c>
      <x:c r="I420" s="26" t="str">
        <x:v>Cervejeiro / Qualidade</x:v>
      </x:c>
    </x:row>
    <x:row r="421" ht="30" customHeight="1">
      <x:c r="A421" s="24" t="str">
        <x:v>BLD.02</x:v>
      </x:c>
      <x:c r="B421" s="25" t="str">
        <x:v>Produção</x:v>
      </x:c>
      <x:c r="C421" s="25" t="str">
        <x:v>Blend, Reprocesso e Genealogia</x:v>
      </x:c>
      <x:c r="D421" s="18" t="str">
        <x:v>Blend</x:v>
      </x:c>
      <x:c r="E421" s="18" t="str">
        <x:v>Simular resultado</x:v>
      </x:c>
      <x:c r="F421" s="18" t="str">
        <x:v>Calcular parâmetros ponderados e limites antes de executar.</x:v>
      </x:c>
      <x:c r="G421" s="26" t="str">
        <x:v>Evolução</x:v>
      </x:c>
      <x:c r="H421" s="26" t="str">
        <x:v>Importante</x:v>
      </x:c>
      <x:c r="I421" s="26" t="str">
        <x:v>Cervejeiro / Qualidade</x:v>
      </x:c>
    </x:row>
    <x:row r="422" ht="30" customHeight="1">
      <x:c r="A422" s="24" t="str">
        <x:v>BLD.03</x:v>
      </x:c>
      <x:c r="B422" s="25" t="str">
        <x:v>Produção</x:v>
      </x:c>
      <x:c r="C422" s="25" t="str">
        <x:v>Blend, Reprocesso e Genealogia</x:v>
      </x:c>
      <x:c r="D422" s="18" t="str">
        <x:v>Execução</x:v>
      </x:c>
      <x:c r="E422" s="18" t="str">
        <x:v>Transferências parciais</x:v>
      </x:c>
      <x:c r="F422" s="18" t="str">
        <x:v>Registrar origem, destino, volume, perdas e responsável.</x:v>
      </x:c>
      <x:c r="G422" s="26" t="str">
        <x:v>Evolução</x:v>
      </x:c>
      <x:c r="H422" s="26" t="str">
        <x:v>Importante</x:v>
      </x:c>
      <x:c r="I422" s="26" t="str">
        <x:v>Cervejeiro / Qualidade</x:v>
      </x:c>
    </x:row>
    <x:row r="423" ht="30" customHeight="1">
      <x:c r="A423" s="24" t="str">
        <x:v>BLD.04</x:v>
      </x:c>
      <x:c r="B423" s="25" t="str">
        <x:v>Produção</x:v>
      </x:c>
      <x:c r="C423" s="25" t="str">
        <x:v>Blend, Reprocesso e Genealogia</x:v>
      </x:c>
      <x:c r="D423" s="18" t="str">
        <x:v>Reprocesso</x:v>
      </x:c>
      <x:c r="E423" s="18" t="str">
        <x:v>Definir tratamento</x:v>
      </x:c>
      <x:c r="F423" s="18" t="str">
        <x:v>Registrar filtração, refermentação, ajuste, diluição ou outra ação autorizada.</x:v>
      </x:c>
      <x:c r="G423" s="26" t="str">
        <x:v>Evolução</x:v>
      </x:c>
      <x:c r="H423" s="26" t="str">
        <x:v>Importante</x:v>
      </x:c>
      <x:c r="I423" s="26" t="str">
        <x:v>Cervejeiro / Qualidade</x:v>
      </x:c>
    </x:row>
    <x:row r="424" ht="30" customHeight="1">
      <x:c r="A424" s="24" t="str">
        <x:v>BLD.05</x:v>
      </x:c>
      <x:c r="B424" s="25" t="str">
        <x:v>Produção</x:v>
      </x:c>
      <x:c r="C424" s="25" t="str">
        <x:v>Blend, Reprocesso e Genealogia</x:v>
      </x:c>
      <x:c r="D424" s="18" t="str">
        <x:v>Qualidade</x:v>
      </x:c>
      <x:c r="E424" s="18" t="str">
        <x:v>Aprovação prévia</x:v>
      </x:c>
      <x:c r="F424" s="18" t="str">
        <x:v>Exigir análise de risco, especificação e responsável técnico.</x:v>
      </x:c>
      <x:c r="G424" s="26" t="str">
        <x:v>Evolução</x:v>
      </x:c>
      <x:c r="H424" s="26" t="str">
        <x:v>Importante</x:v>
      </x:c>
      <x:c r="I424" s="26" t="str">
        <x:v>Cervejeiro / Qualidade</x:v>
      </x:c>
    </x:row>
    <x:row r="425" ht="30" customHeight="1">
      <x:c r="A425" s="24" t="str">
        <x:v>BLD.06</x:v>
      </x:c>
      <x:c r="B425" s="25" t="str">
        <x:v>Produção</x:v>
      </x:c>
      <x:c r="C425" s="25" t="str">
        <x:v>Blend, Reprocesso e Genealogia</x:v>
      </x:c>
      <x:c r="D425" s="18" t="str">
        <x:v>Genealogia</x:v>
      </x:c>
      <x:c r="E425" s="18" t="str">
        <x:v>Lote pai e lotes filhos</x:v>
      </x:c>
      <x:c r="F425" s="18" t="str">
        <x:v>Preservar todas as relações de divisão, união e reprocesso.</x:v>
      </x:c>
      <x:c r="G425" s="26" t="str">
        <x:v>Evolução</x:v>
      </x:c>
      <x:c r="H425" s="26" t="str">
        <x:v>Importante</x:v>
      </x:c>
      <x:c r="I425" s="26" t="str">
        <x:v>Cervejeiro / Qualidade</x:v>
      </x:c>
    </x:row>
    <x:row r="426" ht="30" customHeight="1">
      <x:c r="A426" s="24" t="str">
        <x:v>BLD.07</x:v>
      </x:c>
      <x:c r="B426" s="25" t="str">
        <x:v>Produção</x:v>
      </x:c>
      <x:c r="C426" s="25" t="str">
        <x:v>Blend, Reprocesso e Genealogia</x:v>
      </x:c>
      <x:c r="D426" s="18" t="str">
        <x:v>Estoque</x:v>
      </x:c>
      <x:c r="E426" s="18" t="str">
        <x:v>Conciliação de volume</x:v>
      </x:c>
      <x:c r="F426" s="18" t="str">
        <x:v>Garantir balanço de massa entre origens, perdas e destinos.</x:v>
      </x:c>
      <x:c r="G426" s="26" t="str">
        <x:v>Evolução</x:v>
      </x:c>
      <x:c r="H426" s="26" t="str">
        <x:v>Importante</x:v>
      </x:c>
      <x:c r="I426" s="26" t="str">
        <x:v>Cervejeiro / Qualidade</x:v>
      </x:c>
    </x:row>
    <x:row r="427" ht="30" customHeight="1">
      <x:c r="A427" s="24" t="str">
        <x:v>BLD.08</x:v>
      </x:c>
      <x:c r="B427" s="25" t="str">
        <x:v>Produção</x:v>
      </x:c>
      <x:c r="C427" s="25" t="str">
        <x:v>Blend, Reprocesso e Genealogia</x:v>
      </x:c>
      <x:c r="D427" s="18" t="str">
        <x:v>Rotulagem</x:v>
      </x:c>
      <x:c r="E427" s="18" t="str">
        <x:v>Impacto regulatório</x:v>
      </x:c>
      <x:c r="F427" s="18" t="str">
        <x:v>Revalidar ingredientes, alergênicos, ABV, lote e validade.</x:v>
      </x:c>
      <x:c r="G427" s="26" t="str">
        <x:v>Evolução</x:v>
      </x:c>
      <x:c r="H427" s="26" t="str">
        <x:v>Importante</x:v>
      </x:c>
      <x:c r="I427" s="26" t="str">
        <x:v>Cervejeiro / Qualidade</x:v>
      </x:c>
    </x:row>
    <x:row r="428" ht="30" customHeight="1">
      <x:c r="A428" s="24" t="str">
        <x:v>BLD.09</x:v>
      </x:c>
      <x:c r="B428" s="25" t="str">
        <x:v>Produção</x:v>
      </x:c>
      <x:c r="C428" s="25" t="str">
        <x:v>Blend, Reprocesso e Genealogia</x:v>
      </x:c>
      <x:c r="D428" s="18" t="str">
        <x:v>Custo</x:v>
      </x:c>
      <x:c r="E428" s="18" t="str">
        <x:v>Custo combinado</x:v>
      </x:c>
      <x:c r="F428" s="18" t="str">
        <x:v>Recalcular custo por litro e valor das perdas/reprocesso.</x:v>
      </x:c>
      <x:c r="G428" s="26" t="str">
        <x:v>Evolução</x:v>
      </x:c>
      <x:c r="H428" s="26" t="str">
        <x:v>Importante</x:v>
      </x:c>
      <x:c r="I428" s="26" t="str">
        <x:v>Cervejeiro / Qualidade</x:v>
      </x:c>
    </x:row>
    <x:row r="429" ht="30" customHeight="1">
      <x:c r="A429" s="24" t="str">
        <x:v>BLD.10</x:v>
      </x:c>
      <x:c r="B429" s="25" t="str">
        <x:v>Produção</x:v>
      </x:c>
      <x:c r="C429" s="25" t="str">
        <x:v>Blend, Reprocesso e Genealogia</x:v>
      </x:c>
      <x:c r="D429" s="18" t="str">
        <x:v>Recall</x:v>
      </x:c>
      <x:c r="E429" s="18" t="str">
        <x:v>Propagação de bloqueio</x:v>
      </x:c>
      <x:c r="F429" s="18" t="str">
        <x:v>Bloquear automaticamente todos os descendentes de um lote afetado.</x:v>
      </x:c>
      <x:c r="G429" s="26" t="str">
        <x:v>Evolução</x:v>
      </x:c>
      <x:c r="H429" s="26" t="str">
        <x:v>Importante</x:v>
      </x:c>
      <x:c r="I429" s="26" t="str">
        <x:v>Cervejeiro / Qualidade</x:v>
      </x:c>
    </x:row>
    <x:row r="430" ht="30" customHeight="1">
      <x:c r="A430" s="24" t="str">
        <x:v>FLD.01</x:v>
      </x:c>
      <x:c r="B430" s="25" t="str">
        <x:v>Qualidade</x:v>
      </x:c>
      <x:c r="C430" s="25" t="str">
        <x:v>Qualidade de Campo e Feedback</x:v>
      </x:c>
      <x:c r="D430" s="18" t="str">
        <x:v>Feedback</x:v>
      </x:c>
      <x:c r="E430" s="18" t="str">
        <x:v>Registro estruturado</x:v>
      </x:c>
      <x:c r="F430" s="18" t="str">
        <x:v>Classificar aroma, sabor, carbonatação, aparência, embalagem e atendimento.</x:v>
      </x:c>
      <x:c r="G430" s="26" t="str">
        <x:v>Evolução</x:v>
      </x:c>
      <x:c r="H430" s="26" t="str">
        <x:v>Avançado</x:v>
      </x:c>
      <x:c r="I430" s="26" t="str">
        <x:v>Qualidade / Comercial</x:v>
      </x:c>
    </x:row>
    <x:row r="431" ht="30" customHeight="1">
      <x:c r="A431" s="24" t="str">
        <x:v>FLD.02</x:v>
      </x:c>
      <x:c r="B431" s="25" t="str">
        <x:v>Qualidade</x:v>
      </x:c>
      <x:c r="C431" s="25" t="str">
        <x:v>Qualidade de Campo e Feedback</x:v>
      </x:c>
      <x:c r="D431" s="18" t="str">
        <x:v>Identificação</x:v>
      </x:c>
      <x:c r="E431" s="18" t="str">
        <x:v>QR code do lote</x:v>
      </x:c>
      <x:c r="F431" s="18" t="str">
        <x:v>Permitir localizar produto, data, embalagem e canal sem expor dados internos.</x:v>
      </x:c>
      <x:c r="G431" s="26" t="str">
        <x:v>Evolução</x:v>
      </x:c>
      <x:c r="H431" s="26" t="str">
        <x:v>Avançado</x:v>
      </x:c>
      <x:c r="I431" s="26" t="str">
        <x:v>Qualidade / Comercial</x:v>
      </x:c>
    </x:row>
    <x:row r="432" ht="30" customHeight="1">
      <x:c r="A432" s="24" t="str">
        <x:v>FLD.03</x:v>
      </x:c>
      <x:c r="B432" s="25" t="str">
        <x:v>Qualidade</x:v>
      </x:c>
      <x:c r="C432" s="25" t="str">
        <x:v>Qualidade de Campo e Feedback</x:v>
      </x:c>
      <x:c r="D432" s="18" t="str">
        <x:v>Reclamações</x:v>
      </x:c>
      <x:c r="E432" s="18" t="str">
        <x:v>Triagem</x:v>
      </x:c>
      <x:c r="F432" s="18" t="str">
        <x:v>Avaliar severidade, recorrência, segurança e necessidade de contenção.</x:v>
      </x:c>
      <x:c r="G432" s="26" t="str">
        <x:v>Evolução</x:v>
      </x:c>
      <x:c r="H432" s="26" t="str">
        <x:v>Avançado</x:v>
      </x:c>
      <x:c r="I432" s="26" t="str">
        <x:v>Qualidade / Comercial</x:v>
      </x:c>
    </x:row>
    <x:row r="433" ht="30" customHeight="1">
      <x:c r="A433" s="24" t="str">
        <x:v>FLD.04</x:v>
      </x:c>
      <x:c r="B433" s="25" t="str">
        <x:v>Qualidade</x:v>
      </x:c>
      <x:c r="C433" s="25" t="str">
        <x:v>Qualidade de Campo e Feedback</x:v>
      </x:c>
      <x:c r="D433" s="18" t="str">
        <x:v>Amostras</x:v>
      </x:c>
      <x:c r="E433" s="18" t="str">
        <x:v>Retorno de mercado</x:v>
      </x:c>
      <x:c r="F433" s="18" t="str">
        <x:v>Registrar transporte, armazenamento, idade, integridade e análise.</x:v>
      </x:c>
      <x:c r="G433" s="26" t="str">
        <x:v>Evolução</x:v>
      </x:c>
      <x:c r="H433" s="26" t="str">
        <x:v>Avançado</x:v>
      </x:c>
      <x:c r="I433" s="26" t="str">
        <x:v>Qualidade / Comercial</x:v>
      </x:c>
    </x:row>
    <x:row r="434" ht="30" customHeight="1">
      <x:c r="A434" s="24" t="str">
        <x:v>FLD.05</x:v>
      </x:c>
      <x:c r="B434" s="25" t="str">
        <x:v>Qualidade</x:v>
      </x:c>
      <x:c r="C434" s="25" t="str">
        <x:v>Qualidade de Campo e Feedback</x:v>
      </x:c>
      <x:c r="D434" s="18" t="str">
        <x:v>Cadeia fria</x:v>
      </x:c>
      <x:c r="E434" s="18" t="str">
        <x:v>Eventos de temperatura</x:v>
      </x:c>
      <x:c r="F434" s="18" t="str">
        <x:v>Relacionar exposição térmica ao lote e ponto de venda.</x:v>
      </x:c>
      <x:c r="G434" s="26" t="str">
        <x:v>Evolução</x:v>
      </x:c>
      <x:c r="H434" s="26" t="str">
        <x:v>Avançado</x:v>
      </x:c>
      <x:c r="I434" s="26" t="str">
        <x:v>Qualidade / Comercial</x:v>
      </x:c>
    </x:row>
    <x:row r="435" ht="30" customHeight="1">
      <x:c r="A435" s="24" t="str">
        <x:v>FLD.06</x:v>
      </x:c>
      <x:c r="B435" s="25" t="str">
        <x:v>Qualidade</x:v>
      </x:c>
      <x:c r="C435" s="25" t="str">
        <x:v>Qualidade de Campo e Feedback</x:v>
      </x:c>
      <x:c r="D435" s="18" t="str">
        <x:v>Tendências</x:v>
      </x:c>
      <x:c r="E435" s="18" t="str">
        <x:v>Defeitos recorrentes</x:v>
      </x:c>
      <x:c r="F435" s="18" t="str">
        <x:v>Agrupar ocorrências por receita, lote, embalagem, canal e região.</x:v>
      </x:c>
      <x:c r="G435" s="26" t="str">
        <x:v>Evolução</x:v>
      </x:c>
      <x:c r="H435" s="26" t="str">
        <x:v>Avançado</x:v>
      </x:c>
      <x:c r="I435" s="26" t="str">
        <x:v>Qualidade / Comercial</x:v>
      </x:c>
    </x:row>
    <x:row r="436" ht="30" customHeight="1">
      <x:c r="A436" s="24" t="str">
        <x:v>FLD.07</x:v>
      </x:c>
      <x:c r="B436" s="25" t="str">
        <x:v>Qualidade</x:v>
      </x:c>
      <x:c r="C436" s="25" t="str">
        <x:v>Qualidade de Campo e Feedback</x:v>
      </x:c>
      <x:c r="D436" s="18" t="str">
        <x:v>CAPA</x:v>
      </x:c>
      <x:c r="E436" s="18" t="str">
        <x:v>Ação corretiva</x:v>
      </x:c>
      <x:c r="F436" s="18" t="str">
        <x:v>Abrir investigação e acompanhar eficácia da melhoria.</x:v>
      </x:c>
      <x:c r="G436" s="26" t="str">
        <x:v>Evolução</x:v>
      </x:c>
      <x:c r="H436" s="26" t="str">
        <x:v>Avançado</x:v>
      </x:c>
      <x:c r="I436" s="26" t="str">
        <x:v>Qualidade / Comercial</x:v>
      </x:c>
    </x:row>
    <x:row r="437" ht="30" customHeight="1">
      <x:c r="A437" s="24" t="str">
        <x:v>FLD.08</x:v>
      </x:c>
      <x:c r="B437" s="25" t="str">
        <x:v>Qualidade</x:v>
      </x:c>
      <x:c r="C437" s="25" t="str">
        <x:v>Qualidade de Campo e Feedback</x:v>
      </x:c>
      <x:c r="D437" s="18" t="str">
        <x:v>Produto</x:v>
      </x:c>
      <x:c r="E437" s="18" t="str">
        <x:v>Aprendizado do portfólio</x:v>
      </x:c>
      <x:c r="F437" s="18" t="str">
        <x:v>Cruzar recompra, avaliação, qualidade, custo e desempenho sensorial.</x:v>
      </x:c>
      <x:c r="G437" s="26" t="str">
        <x:v>Evolução</x:v>
      </x:c>
      <x:c r="H437" s="26" t="str">
        <x:v>Avançado</x:v>
      </x:c>
      <x:c r="I437" s="26" t="str">
        <x:v>Qualidade / Comercial</x:v>
      </x:c>
    </x:row>
    <x:row r="438" ht="34" customHeight="1">
      <x:c r="A438" s="49" t="str">
        <x:v>SEC.09</x:v>
      </x:c>
      <x:c r="B438" s="49" t="str">
        <x:v>Configuração</x:v>
      </x:c>
      <x:c r="C438" s="49" t="str">
        <x:v>Segurança, Identidade e SSO</x:v>
      </x:c>
      <x:c r="D438" s="49" t="str">
        <x:v>Sessão</x:v>
      </x:c>
      <x:c r="E438" s="49" t="str">
        <x:v>Sessões ativas</x:v>
      </x:c>
      <x:c r="F438" s="49" t="str">
        <x:v>Sessão opaca no servidor, cookie __Host-/HttpOnly/Secure/SameSite, timeout e revogação individual/global.</x:v>
      </x:c>
      <x:c r="G438" s="49" t="str">
        <x:v>MVP 1</x:v>
      </x:c>
      <x:c r="H438" s="49" t="str">
        <x:v>Essencial</x:v>
      </x:c>
      <x:c r="I438" s="49" t="str">
        <x:v>Todos</x:v>
      </x:c>
    </x:row>
    <x:row r="439" ht="34" customHeight="1">
      <x:c r="A439" s="49" t="str">
        <x:v>SEC.10</x:v>
      </x:c>
      <x:c r="B439" s="49" t="str">
        <x:v>Configuração</x:v>
      </x:c>
      <x:c r="C439" s="49" t="str">
        <x:v>Segurança, Identidade e SSO</x:v>
      </x:c>
      <x:c r="D439" s="49" t="str">
        <x:v>Autorização</x:v>
      </x:c>
      <x:c r="E439" s="49" t="str">
        <x:v>Acessos temporários</x:v>
      </x:c>
      <x:c r="F439" s="49" t="str">
        <x:v>Permissão, escopo, motivo, início/fim, solicitante, aprovador, expiração e revogação automática.</x:v>
      </x:c>
      <x:c r="G439" s="49" t="str">
        <x:v>MVP 1</x:v>
      </x:c>
      <x:c r="H439" s="49" t="str">
        <x:v>Essencial</x:v>
      </x:c>
      <x:c r="I439" s="49" t="str">
        <x:v>Administrador de segurança</x:v>
      </x:c>
    </x:row>
    <x:row r="440" ht="34" customHeight="1">
      <x:c r="A440" s="49" t="str">
        <x:v>SEC.11</x:v>
      </x:c>
      <x:c r="B440" s="49" t="str">
        <x:v>Configuração</x:v>
      </x:c>
      <x:c r="C440" s="49" t="str">
        <x:v>Segurança, Identidade e SSO</x:v>
      </x:c>
      <x:c r="D440" s="49" t="str">
        <x:v>Autenticação forte</x:v>
      </x:c>
      <x:c r="E440" s="49" t="str">
        <x:v>MFA</x:v>
      </x:c>
      <x:c r="F440" s="49" t="str">
        <x:v>Política por risco/grupo, enrollment, reautenticação e recuperação segura.</x:v>
      </x:c>
      <x:c r="G440" s="49" t="str">
        <x:v>MVP 1</x:v>
      </x:c>
      <x:c r="H440" s="49" t="str">
        <x:v>Essencial</x:v>
      </x:c>
      <x:c r="I440" s="49" t="str">
        <x:v>Administrador de segurança</x:v>
      </x:c>
    </x:row>
    <x:row r="441" ht="34" customHeight="1">
      <x:c r="A441" s="49" t="str">
        <x:v>SEC.12</x:v>
      </x:c>
      <x:c r="B441" s="49" t="str">
        <x:v>Configuração</x:v>
      </x:c>
      <x:c r="C441" s="49" t="str">
        <x:v>Segurança, Identidade e SSO</x:v>
      </x:c>
      <x:c r="D441" s="49" t="str">
        <x:v>Autenticação forte</x:v>
      </x:c>
      <x:c r="E441" s="49" t="str">
        <x:v>Passkeys / WebAuthn</x:v>
      </x:c>
      <x:c r="F441" s="49" t="str">
        <x:v>Challenge, RP ID, origem, assinatura, contador e múltiplos autenticadores; chave privada não sai do dispositivo.</x:v>
      </x:c>
      <x:c r="G441" s="49" t="str">
        <x:v>MVP 1</x:v>
      </x:c>
      <x:c r="H441" s="49" t="str">
        <x:v>Essencial</x:v>
      </x:c>
      <x:c r="I441" s="49" t="str">
        <x:v>Administrador de segurança</x:v>
      </x:c>
    </x:row>
    <x:row r="442" ht="34" customHeight="1">
      <x:c r="A442" s="49" t="str">
        <x:v>SEC.13</x:v>
      </x:c>
      <x:c r="B442" s="49" t="str">
        <x:v>Configuração</x:v>
      </x:c>
      <x:c r="C442" s="49" t="str">
        <x:v>Segurança, Identidade e SSO</x:v>
      </x:c>
      <x:c r="D442" s="49" t="str">
        <x:v>Autenticação forte</x:v>
      </x:c>
      <x:c r="E442" s="49" t="str">
        <x:v>TOTP</x:v>
      </x:c>
      <x:c r="F442" s="49" t="str">
        <x:v>Segredo cifrado com chave externa, confirmação de cadastro, janela curta, replay e revogação.</x:v>
      </x:c>
      <x:c r="G442" s="49" t="str">
        <x:v>MVP 1</x:v>
      </x:c>
      <x:c r="H442" s="49" t="str">
        <x:v>Importante</x:v>
      </x:c>
      <x:c r="I442" s="49" t="str">
        <x:v>Administrador de segurança</x:v>
      </x:c>
    </x:row>
    <x:row r="443" ht="34" customHeight="1">
      <x:c r="A443" s="49" t="str">
        <x:v>SEC.14</x:v>
      </x:c>
      <x:c r="B443" s="49" t="str">
        <x:v>Configuração</x:v>
      </x:c>
      <x:c r="C443" s="49" t="str">
        <x:v>Segurança, Identidade e SSO</x:v>
      </x:c>
      <x:c r="D443" s="49" t="str">
        <x:v>Recuperação</x:v>
      </x:c>
      <x:c r="E443" s="49" t="str">
        <x:v>Códigos de recuperação</x:v>
      </x:c>
      <x:c r="F443" s="49" t="str">
        <x:v>Gerar uma vez, guardar por hash, uso único, inventário restante e regeneração invalidando anteriores.</x:v>
      </x:c>
      <x:c r="G443" s="49" t="str">
        <x:v>MVP 1</x:v>
      </x:c>
      <x:c r="H443" s="49" t="str">
        <x:v>Essencial</x:v>
      </x:c>
      <x:c r="I443" s="49" t="str">
        <x:v>Todos</x:v>
      </x:c>
    </x:row>
    <x:row r="444" ht="34" customHeight="1">
      <x:c r="A444" s="49" t="str">
        <x:v>SEC.15</x:v>
      </x:c>
      <x:c r="B444" s="49" t="str">
        <x:v>Configuração</x:v>
      </x:c>
      <x:c r="C444" s="49" t="str">
        <x:v>Segurança, Identidade e SSO</x:v>
      </x:c>
      <x:c r="D444" s="49" t="str">
        <x:v>Recuperação</x:v>
      </x:c>
      <x:c r="E444" s="49" t="str">
        <x:v>Redefinição de senha</x:v>
      </x:c>
      <x:c r="F444" s="49" t="str">
        <x:v>Resposta neutra, rate limit, token hash/single-use/expirável, notificação e opção de revogar sessões.</x:v>
      </x:c>
      <x:c r="G444" s="49" t="str">
        <x:v>MVP 1</x:v>
      </x:c>
      <x:c r="H444" s="49" t="str">
        <x:v>Essencial</x:v>
      </x:c>
      <x:c r="I444" s="49" t="str">
        <x:v>Todos</x:v>
      </x:c>
    </x:row>
    <x:row r="445" ht="34" customHeight="1">
      <x:c r="A445" s="49" t="str">
        <x:v>SEC.16</x:v>
      </x:c>
      <x:c r="B445" s="49" t="str">
        <x:v>Configuração</x:v>
      </x:c>
      <x:c r="C445" s="49" t="str">
        <x:v>Segurança, Identidade e SSO</x:v>
      </x:c>
      <x:c r="D445" s="49" t="str">
        <x:v>Sessão</x:v>
      </x:c>
      <x:c r="E445" s="49" t="str">
        <x:v>Dispositivos confiáveis</x:v>
      </x:c>
      <x:c r="F445" s="49" t="str">
        <x:v>Nomear, revisar e revogar dispositivo; alertar novo acesso sem vincular rigidamente ao IP móvel.</x:v>
      </x:c>
      <x:c r="G445" s="49" t="str">
        <x:v>MVP 1</x:v>
      </x:c>
      <x:c r="H445" s="49" t="str">
        <x:v>Importante</x:v>
      </x:c>
      <x:c r="I445" s="49" t="str">
        <x:v>Todos</x:v>
      </x:c>
    </x:row>
    <x:row r="446" ht="34" customHeight="1">
      <x:c r="A446" s="49" t="str">
        <x:v>SEC.17</x:v>
      </x:c>
      <x:c r="B446" s="49" t="str">
        <x:v>Configuração</x:v>
      </x:c>
      <x:c r="C446" s="49" t="str">
        <x:v>Segurança, Identidade e SSO</x:v>
      </x:c>
      <x:c r="D446" s="49" t="str">
        <x:v>Integrações</x:v>
      </x:c>
      <x:c r="E446" s="49" t="str">
        <x:v>Contas de serviço</x:v>
      </x:c>
      <x:c r="F446" s="49" t="str">
        <x:v>Identidade não humana com owner, finalidade, status e escopos próprios; sem login web.</x:v>
      </x:c>
      <x:c r="G446" s="49" t="str">
        <x:v>MVP 1</x:v>
      </x:c>
      <x:c r="H446" s="49" t="str">
        <x:v>Essencial</x:v>
      </x:c>
      <x:c r="I446" s="49" t="str">
        <x:v>Administrador de segurança</x:v>
      </x:c>
    </x:row>
    <x:row r="447" ht="34" customHeight="1">
      <x:c r="A447" s="49" t="str">
        <x:v>SEC.18</x:v>
      </x:c>
      <x:c r="B447" s="49" t="str">
        <x:v>Configuração</x:v>
      </x:c>
      <x:c r="C447" s="49" t="str">
        <x:v>Segurança, Identidade e SSO</x:v>
      </x:c>
      <x:c r="D447" s="49" t="str">
        <x:v>Integrações</x:v>
      </x:c>
      <x:c r="E447" s="49" t="str">
        <x:v>API keys</x:v>
      </x:c>
      <x:c r="F447" s="49" t="str">
        <x:v>Segredo mostrado uma vez; guardar hash/prefixo, escopo, expiração, rotação, último uso e revogação.</x:v>
      </x:c>
      <x:c r="G447" s="49" t="str">
        <x:v>MVP 1</x:v>
      </x:c>
      <x:c r="H447" s="49" t="str">
        <x:v>Essencial</x:v>
      </x:c>
      <x:c r="I447" s="49" t="str">
        <x:v>Administrador de segurança</x:v>
      </x:c>
    </x:row>
    <x:row r="448" ht="34" customHeight="1">
      <x:c r="A448" s="49" t="str">
        <x:v>SEC.19</x:v>
      </x:c>
      <x:c r="B448" s="49" t="str">
        <x:v>Configuração</x:v>
      </x:c>
      <x:c r="C448" s="49" t="str">
        <x:v>Segurança, Identidade e SSO</x:v>
      </x:c>
      <x:c r="D448" s="49" t="str">
        <x:v>Proteção</x:v>
      </x:c>
      <x:c r="E448" s="49" t="str">
        <x:v>Rate limit adaptativo</x:v>
      </x:c>
      <x:c r="F448" s="49" t="str">
        <x:v>Throttling progressivo por conta/IP/dispositivo; CAPTCHA somente sob risco; bloqueio não permanente.</x:v>
      </x:c>
      <x:c r="G448" s="49" t="str">
        <x:v>MVP 1</x:v>
      </x:c>
      <x:c r="H448" s="49" t="str">
        <x:v>Essencial</x:v>
      </x:c>
      <x:c r="I448" s="49" t="str">
        <x:v>Administrador de segurança</x:v>
      </x:c>
    </x:row>
    <x:row r="449" ht="34" customHeight="1">
      <x:c r="A449" s="49" t="str">
        <x:v>SEC.20</x:v>
      </x:c>
      <x:c r="B449" s="49" t="str">
        <x:v>Configuração</x:v>
      </x:c>
      <x:c r="C449" s="49" t="str">
        <x:v>Segurança, Identidade e SSO</x:v>
      </x:c>
      <x:c r="D449" s="49" t="str">
        <x:v>Proteção</x:v>
      </x:c>
      <x:c r="E449" s="49" t="str">
        <x:v>Alertas e painel de risco</x:v>
      </x:c>
      <x:c r="F449" s="49" t="str">
        <x:v>Rajadas de falha, novo dispositivo, elevação, negações repetidas, chave/certificado expirando; workflow de tratamento.</x:v>
      </x:c>
      <x:c r="G449" s="49" t="str">
        <x:v>MVP 1</x:v>
      </x:c>
      <x:c r="H449" s="49" t="str">
        <x:v>Importante</x:v>
      </x:c>
      <x:c r="I449" s="49" t="str">
        <x:v>Administrador de segurança</x:v>
      </x:c>
    </x:row>
    <x:row r="450" ht="34" customHeight="1">
      <x:c r="A450" s="49" t="str">
        <x:v>SEC.21</x:v>
      </x:c>
      <x:c r="B450" s="49" t="str">
        <x:v>Configuração</x:v>
      </x:c>
      <x:c r="C450" s="49" t="str">
        <x:v>Segurança, Identidade e SSO</x:v>
      </x:c>
      <x:c r="D450" s="49" t="str">
        <x:v>Governança</x:v>
      </x:c>
      <x:c r="E450" s="49" t="str">
        <x:v>Revisão de acessos</x:v>
      </x:c>
      <x:c r="F450" s="49" t="str">
        <x:v>Campanhas com responsável, prazo, decisão, justificativa, evidência e remoção de acesso órfão.</x:v>
      </x:c>
      <x:c r="G450" s="49" t="str">
        <x:v>MVP 1</x:v>
      </x:c>
      <x:c r="H450" s="49" t="str">
        <x:v>Importante</x:v>
      </x:c>
      <x:c r="I450" s="49" t="str">
        <x:v>Administrador de segurança</x:v>
      </x:c>
    </x:row>
    <x:row r="451" ht="34" customHeight="1">
      <x:c r="A451" s="49" t="str">
        <x:v>SEC.22</x:v>
      </x:c>
      <x:c r="B451" s="49" t="str">
        <x:v>Configuração</x:v>
      </x:c>
      <x:c r="C451" s="49" t="str">
        <x:v>Segurança, Identidade e SSO</x:v>
      </x:c>
      <x:c r="D451" s="49" t="str">
        <x:v>Governança</x:v>
      </x:c>
      <x:c r="E451" s="49" t="str">
        <x:v>Segregação de funções</x:v>
      </x:c>
      <x:c r="F451" s="49" t="str">
        <x:v>Proibir autoaprovação e combinações críticas; exceção com motivo, aprovação e validade.</x:v>
      </x:c>
      <x:c r="G451" s="49" t="str">
        <x:v>MVP 1</x:v>
      </x:c>
      <x:c r="H451" s="49" t="str">
        <x:v>Essencial</x:v>
      </x:c>
      <x:c r="I451" s="49" t="str">
        <x:v>Administrador de segurança</x:v>
      </x:c>
    </x:row>
    <x:row r="452" ht="34" customHeight="1">
      <x:c r="A452" s="49" t="str">
        <x:v>SEC.23</x:v>
      </x:c>
      <x:c r="B452" s="49" t="str">
        <x:v>Configuração</x:v>
      </x:c>
      <x:c r="C452" s="49" t="str">
        <x:v>Segurança, Identidade e SSO</x:v>
      </x:c>
      <x:c r="D452" s="49" t="str">
        <x:v>Continuidade</x:v>
      </x:c>
      <x:c r="E452" s="49" t="str">
        <x:v>Conta de emergência</x:v>
      </x:c>
      <x:c r="F452" s="49" t="str">
        <x:v>Break-glass offline, MFA forte, custódia, monitoramento, rotação e teste periódico.</x:v>
      </x:c>
      <x:c r="G452" s="49" t="str">
        <x:v>MVP 1</x:v>
      </x:c>
      <x:c r="H452" s="49" t="str">
        <x:v>Importante</x:v>
      </x:c>
      <x:c r="I452" s="49" t="str">
        <x:v>Administrador de segurança</x:v>
      </x:c>
    </x:row>
    <x:row r="453" ht="34" customHeight="1">
      <x:c r="A453" s="49" t="str">
        <x:v>SEC.24</x:v>
      </x:c>
      <x:c r="B453" s="49" t="str">
        <x:v>Configuração</x:v>
      </x:c>
      <x:c r="C453" s="49" t="str">
        <x:v>Segurança, Identidade e SSO</x:v>
      </x:c>
      <x:c r="D453" s="49" t="str">
        <x:v>Privacidade</x:v>
      </x:c>
      <x:c r="E453" s="49" t="str">
        <x:v>Retenção e pseudonimização</x:v>
      </x:c>
      <x:c r="F453" s="49" t="str">
        <x:v>Política por tipo de evento, acesso restrito, hash/minimização de IP/UA, expurgo e exportação auditada.</x:v>
      </x:c>
      <x:c r="G453" s="49" t="str">
        <x:v>MVP 1</x:v>
      </x:c>
      <x:c r="H453" s="49" t="str">
        <x:v>Essencial</x:v>
      </x:c>
      <x:c r="I453" s="49" t="str">
        <x:v>Administrador de segurança</x:v>
      </x:c>
    </x:row>
    <x:row r="454" ht="34" customHeight="1">
      <x:c r="A454" s="49" t="str">
        <x:v>SEC.25</x:v>
      </x:c>
      <x:c r="B454" s="49" t="str">
        <x:v>Configuração</x:v>
      </x:c>
      <x:c r="C454" s="49" t="str">
        <x:v>Segurança, Identidade e SSO</x:v>
      </x:c>
      <x:c r="D454" s="49" t="str">
        <x:v>Federação e SSO</x:v>
      </x:c>
      <x:c r="E454" s="49" t="str">
        <x:v>Provedor SAML 2.0</x:v>
      </x:c>
      <x:c r="F454" s="49" t="str">
        <x:v>Configurar SP/RP, entity IDs, ACS, issuer, audience, destination, assinatura, tempo, replay e algoritmos permitidos.</x:v>
      </x:c>
      <x:c r="G454" s="49" t="str">
        <x:v>Evolução</x:v>
      </x:c>
      <x:c r="H454" s="49" t="str">
        <x:v>Importante</x:v>
      </x:c>
      <x:c r="I454" s="49" t="str">
        <x:v>Administrador de segurança</x:v>
      </x:c>
    </x:row>
    <x:row r="455" ht="34" customHeight="1">
      <x:c r="A455" s="49" t="str">
        <x:v>SEC.26</x:v>
      </x:c>
      <x:c r="B455" s="49" t="str">
        <x:v>Configuração</x:v>
      </x:c>
      <x:c r="C455" s="49" t="str">
        <x:v>Segurança, Identidade e SSO</x:v>
      </x:c>
      <x:c r="D455" s="49" t="str">
        <x:v>Federação e SSO</x:v>
      </x:c>
      <x:c r="E455" s="49" t="str">
        <x:v>Metadata e certificados SAML</x:v>
      </x:c>
      <x:c r="F455" s="49" t="str">
        <x:v>Importar/publicar metadata, armazenar certificado público, referenciar chave externa, validar e rotacionar com sobreposição/alertas.</x:v>
      </x:c>
      <x:c r="G455" s="49" t="str">
        <x:v>Evolução</x:v>
      </x:c>
      <x:c r="H455" s="49" t="str">
        <x:v>Essencial</x:v>
      </x:c>
      <x:c r="I455" s="49" t="str">
        <x:v>Administrador de segurança</x:v>
      </x:c>
    </x:row>
    <x:row r="456" ht="34" customHeight="1">
      <x:c r="A456" s="49" t="str">
        <x:v>SEC.27</x:v>
      </x:c>
      <x:c r="B456" s="49" t="str">
        <x:v>Configuração</x:v>
      </x:c>
      <x:c r="C456" s="49" t="str">
        <x:v>Segurança, Identidade e SSO</x:v>
      </x:c>
      <x:c r="D456" s="49" t="str">
        <x:v>Federação e SSO</x:v>
      </x:c>
      <x:c r="E456" s="49" t="str">
        <x:v>Single Logout SAML</x:v>
      </x:c>
      <x:c r="F456" s="49" t="str">
        <x:v>RP/AP initiated SLO, requests/responses assinados, fallback para logout local e revogação da sessão interna.</x:v>
      </x:c>
      <x:c r="G456" s="49" t="str">
        <x:v>Evolução</x:v>
      </x:c>
      <x:c r="H456" s="49" t="str">
        <x:v>Importante</x:v>
      </x:c>
      <x:c r="I456" s="49" t="str">
        <x:v>Administrador de segurança</x:v>
      </x:c>
    </x:row>
    <x:row r="457" ht="34" customHeight="1">
      <x:c r="A457" s="49" t="str">
        <x:v>SEC.28</x:v>
      </x:c>
      <x:c r="B457" s="49" t="str">
        <x:v>Configuração</x:v>
      </x:c>
      <x:c r="C457" s="49" t="str">
        <x:v>Segurança, Identidade e SSO</x:v>
      </x:c>
      <x:c r="D457" s="49" t="str">
        <x:v>Federação e SSO</x:v>
      </x:c>
      <x:c r="E457" s="49" t="str">
        <x:v>OpenID Connect</x:v>
      </x:c>
      <x:c r="F457" s="49" t="str">
        <x:v>Authorization Code, discovery, state, nonce, PKCE, redirect exato, issuer/sub e logout por capacidade.</x:v>
      </x:c>
      <x:c r="G457" s="49" t="str">
        <x:v>Evolução</x:v>
      </x:c>
      <x:c r="H457" s="49" t="str">
        <x:v>Importante</x:v>
      </x:c>
      <x:c r="I457" s="49" t="str">
        <x:v>Administrador de segurança</x:v>
      </x:c>
    </x:row>
    <x:row r="458" ht="34" customHeight="1">
      <x:c r="A458" s="49" t="str">
        <x:v>SEC.29</x:v>
      </x:c>
      <x:c r="B458" s="49" t="str">
        <x:v>Configuração</x:v>
      </x:c>
      <x:c r="C458" s="49" t="str">
        <x:v>Segurança, Identidade e SSO</x:v>
      </x:c>
      <x:c r="D458" s="49" t="str">
        <x:v>Federação e SSO</x:v>
      </x:c>
      <x:c r="E458" s="49" t="str">
        <x:v>Account linking e JIT</x:v>
      </x:c>
      <x:c r="F458" s="49" t="str">
        <x:v>Vincular por provider+subject; convite/domínio verificado; conflito manual; grupos externos por allowlist.</x:v>
      </x:c>
      <x:c r="G458" s="49" t="str">
        <x:v>Evolução</x:v>
      </x:c>
      <x:c r="H458" s="49" t="str">
        <x:v>Essencial</x:v>
      </x:c>
      <x:c r="I458" s="49" t="str">
        <x:v>Administrador de segurança</x:v>
      </x:c>
    </x:row>
    <x:row r="459" ht="34" customHeight="1">
      <x:c r="A459" s="49" t="str">
        <x:v>SEC.30</x:v>
      </x:c>
      <x:c r="B459" s="49" t="str">
        <x:v>Configuração</x:v>
      </x:c>
      <x:c r="C459" s="49" t="str">
        <x:v>Segurança, Identidade e SSO</x:v>
      </x:c>
      <x:c r="D459" s="49" t="str">
        <x:v>Provisionamento</x:v>
      </x:c>
      <x:c r="E459" s="49" t="str">
        <x:v>SCIM 2.0</x:v>
      </x:c>
      <x:c r="F459" s="49" t="str">
        <x:v>Users/Groups, schemas/discovery, PATCH, filtros, ETag, paginação, idempotência, reconciliação e desativação.</x:v>
      </x:c>
      <x:c r="G459" s="49" t="str">
        <x:v>Evolução</x:v>
      </x:c>
      <x:c r="H459" s="49" t="str">
        <x:v>Importante</x:v>
      </x:c>
      <x:c r="I459" s="49" t="str">
        <x:v>Administrador de segurança</x:v>
      </x:c>
    </x:row>
    <x:row r="460" ht="34" customHeight="1">
      <x:c r="A460" s="49" t="str">
        <x:v>SEC.31</x:v>
      </x:c>
      <x:c r="B460" s="49" t="str">
        <x:v>Configuração</x:v>
      </x:c>
      <x:c r="C460" s="49" t="str">
        <x:v>Segurança, Identidade e SSO</x:v>
      </x:c>
      <x:c r="D460" s="49" t="str">
        <x:v>Provisionamento</x:v>
      </x:c>
      <x:c r="E460" s="49" t="str">
        <x:v>LDAP / Active Directory</x:v>
      </x:c>
      <x:c r="F460" s="49" t="str">
        <x:v>LDAPS/StartTLS, certificado validado, bind read-only, base/filtro allowlisted, timeout e segredo externo.</x:v>
      </x:c>
      <x:c r="G460" s="49" t="str">
        <x:v>Evolução</x:v>
      </x:c>
      <x:c r="H460" s="49" t="str">
        <x:v>Opcional</x:v>
      </x:c>
      <x:c r="I460" s="49" t="str">
        <x:v>Administrador de segurança</x:v>
      </x:c>
    </x:row>
    <x:row r="461" ht="34" customHeight="1">
      <x:c r="A461" s="49" t="str">
        <x:v>SEC.32</x:v>
      </x:c>
      <x:c r="B461" s="49" t="str">
        <x:v>Configuração</x:v>
      </x:c>
      <x:c r="C461" s="49" t="str">
        <x:v>Segurança, Identidade e SSO</x:v>
      </x:c>
      <x:c r="D461" s="49" t="str">
        <x:v>Integrações</x:v>
      </x:c>
      <x:c r="E461" s="49" t="str">
        <x:v>mTLS / X.509</x:v>
      </x:c>
      <x:c r="F461" s="49" t="str">
        <x:v>Certificado por dispositivo/cliente, CA confiável, validade, revogação, rotação e mapeamento para service account.</x:v>
      </x:c>
      <x:c r="G461" s="49" t="str">
        <x:v>Evolução</x:v>
      </x:c>
      <x:c r="H461" s="49" t="str">
        <x:v>Opcional</x:v>
      </x:c>
      <x:c r="I461" s="49" t="str">
        <x:v>Administrador de segurança</x:v>
      </x:c>
    </x:row>
  </x:sheetData>
  <x:mergeCells>
    <x:mergeCell ref="A1:I1"/>
    <x:mergeCell ref="A2:I2"/>
    <x:mergeCell ref="A3:B3"/>
    <x:mergeCell ref="D3:E3"/>
    <x:mergeCell ref="G3:H3"/>
  </x:mergeCells>
  <x:conditionalFormatting sqref="G6:G437">
    <x:cfRule type="containsText" dxfId="0" priority="1" operator="containsText" text="MVP 1"/>
    <x:cfRule type="containsText" dxfId="1" priority="2" operator="containsText" text="MVP 2"/>
    <x:cfRule type="containsText" dxfId="2" priority="3" operator="containsText" text="MVP 3"/>
    <x:cfRule type="containsText" dxfId="3" priority="4" operator="containsText" text="Evolução"/>
  </x:conditionalFormatting>
  <x:dataValidations count="2">
    <x:dataValidation type="list" sqref="G6:G437">
      <x:formula1>"MVP 1,MVP 2,MVP 3,Evolução"</x:formula1>
    </x:dataValidation>
    <x:dataValidation type="list" sqref="H6:H437">
      <x:formula1>"Essencial,Importante,Avançado"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962c3fd190406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1" hidden="0" customWidth="1"/>
    <x:col min="3" max="3" width="11" hidden="0" customWidth="1"/>
    <x:col min="4" max="4" width="15" hidden="0" customWidth="1"/>
    <x:col min="5" max="5" width="58" hidden="0" customWidth="1"/>
  </x:cols>
  <x:sheetData>
    <x:row r="1" ht="34" customHeight="1">
      <x:c r="A1" s="3" t="str">
        <x:v>MAPA DE MÓDULOS E ESCOPO</x:v>
      </x:c>
      <x:c r="B1" s="3"/>
      <x:c r="C1" s="3"/>
      <x:c r="D1" s="3"/>
      <x:c r="E1" s="3"/>
    </x:row>
    <x:row r="2" ht="24" customHeight="1">
      <x:c r="A2" s="27" t="str">
        <x:v>Resumo do catálogo da BrassIA. As contagens são fórmulas vinculadas à planilha principal.</x:v>
      </x:c>
      <x:c r="B2" s="27"/>
      <x:c r="C2" s="27"/>
      <x:c r="D2" s="27"/>
      <x:c r="E2" s="27"/>
    </x:row>
    <x:row r="4" ht="30" customHeight="1">
      <x:c r="A4" s="29" t="str">
        <x:v>ITENS CATALOGADOS</x:v>
      </x:c>
      <x:c r="B4" s="29"/>
      <x:c r="C4" s="32" t="n">
        <x:f>COUNTA('Catálogo Funcional'!$A$6:$A$1000)</x:f>
        <x:v>456</x:v>
      </x:c>
      <x:c r="D4" s="29" t="str">
        <x:v>MÓDULOS</x:v>
      </x:c>
      <x:c r="E4" s="29" t="n">
        <x:f>COUNTA(B7:B100)</x:f>
        <x:v>35</x:v>
      </x:c>
    </x:row>
    <x:row r="6">
      <x:c r="A6" s="37" t="str">
        <x:v>Categoria</x:v>
      </x:c>
      <x:c r="B6" s="37" t="str">
        <x:v>Módulo</x:v>
      </x:c>
      <x:c r="C6" s="37" t="str">
        <x:v>Itens</x:v>
      </x:c>
      <x:c r="D6" s="37" t="str">
        <x:v>Fase inicial</x:v>
      </x:c>
      <x:c r="E6" s="37" t="str">
        <x:v>Objetivo</x:v>
      </x:c>
    </x:row>
    <x:row r="7" ht="32" customHeight="1">
      <x:c r="A7" s="42" t="str">
        <x:v>Gestão</x:v>
      </x:c>
      <x:c r="B7" s="42" t="str">
        <x:v>Dashboard e Home</x:v>
      </x:c>
      <x:c r="C7" s="45" t="n">
        <x:f>COUNTIF('Catálogo Funcional'!$C$6:$C$1000,B7)</x:f>
        <x:v>8</x:v>
      </x:c>
      <x:c r="D7" s="47" t="str">
        <x:v>MVP 1</x:v>
      </x:c>
      <x:c r="E7" s="17" t="str">
        <x:v>Dar visão rápida da operação, dos alertas e das próximas ações.</x:v>
      </x:c>
    </x:row>
    <x:row r="8" ht="32" customHeight="1">
      <x:c r="A8" s="25" t="str">
        <x:v>Configuração</x:v>
      </x:c>
      <x:c r="B8" s="25" t="str">
        <x:v>Cervejaria e Preferências</x:v>
      </x:c>
      <x:c r="C8" s="46" t="n">
        <x:f>COUNTIF('Catálogo Funcional'!$C$6:$C$1000,B8)</x:f>
        <x:v>8</x:v>
      </x:c>
      <x:c r="D8" s="26" t="str">
        <x:v>MVP 1</x:v>
      </x:c>
      <x:c r="E8" s="18" t="str">
        <x:v>Centralizar os parâmetros operacionais e comerciais da cervejaria.</x:v>
      </x:c>
    </x:row>
    <x:row r="9" ht="32" customHeight="1">
      <x:c r="A9" s="25" t="str">
        <x:v>Configuração</x:v>
      </x:c>
      <x:c r="B9" s="25" t="str">
        <x:v>Segurança, Identidade e SSO</x:v>
      </x:c>
      <x:c r="C9" s="46" t="n">
        <x:f>COUNTIF('Catálogo Funcional'!$C$6:$C$1000,B9)</x:f>
        <x:v>32</x:v>
      </x:c>
      <x:c r="D9" s="26" t="str">
        <x:v>MVP 1</x:v>
      </x:c>
      <x:c r="E9" s="18" t="str">
        <x:v>Controlar identidade, autenticação, acesso, sessão, auditoria e SSO corporativo.</x:v>
      </x:c>
    </x:row>
    <x:row r="10" ht="32" customHeight="1">
      <x:c r="A10" s="25" t="str">
        <x:v>Configuração</x:v>
      </x:c>
      <x:c r="B10" s="25" t="str">
        <x:v>Equipamentos e Manutenção</x:v>
      </x:c>
      <x:c r="C10" s="46" t="n">
        <x:f>COUNTIF('Catálogo Funcional'!$C$6:$C$1000,B10)</x:f>
        <x:v>12</x:v>
      </x:c>
      <x:c r="D10" s="26" t="str">
        <x:v>MVP 1</x:v>
      </x:c>
      <x:c r="E10" s="18" t="str">
        <x:v>Modelar a capacidade e o comportamento real de cada equipamento.</x:v>
      </x:c>
    </x:row>
    <x:row r="11" ht="32" customHeight="1">
      <x:c r="A11" s="25" t="str">
        <x:v>Catálogos</x:v>
      </x:c>
      <x:c r="B11" s="25" t="str">
        <x:v>Estilos Cervejeiros</x:v>
      </x:c>
      <x:c r="C11" s="46" t="n">
        <x:f>COUNTIF('Catálogo Funcional'!$C$6:$C$1000,B11)</x:f>
        <x:v>8</x:v>
      </x:c>
      <x:c r="D11" s="26" t="str">
        <x:v>MVP 1</x:v>
      </x:c>
      <x:c r="E11" s="18" t="str">
        <x:v>Manter faixas de referência para criação e avaliação das receitas.</x:v>
      </x:c>
    </x:row>
    <x:row r="12" ht="32" customHeight="1">
      <x:c r="A12" s="25" t="str">
        <x:v>Catálogos</x:v>
      </x:c>
      <x:c r="B12" s="25" t="str">
        <x:v>Ingredientes e Materiais</x:v>
      </x:c>
      <x:c r="C12" s="46" t="n">
        <x:f>COUNTIF('Catálogo Funcional'!$C$6:$C$1000,B12)</x:f>
        <x:v>18</x:v>
      </x:c>
      <x:c r="D12" s="26" t="str">
        <x:v>MVP 1</x:v>
      </x:c>
      <x:c r="E12" s="18" t="str">
        <x:v>Cadastrar especificações técnicas reutilizadas por receitas, compras e estoque.</x:v>
      </x:c>
    </x:row>
    <x:row r="13" ht="32" customHeight="1">
      <x:c r="A13" s="25" t="str">
        <x:v>Planejamento</x:v>
      </x:c>
      <x:c r="B13" s="25" t="str">
        <x:v>Água e Perfil Mineral</x:v>
      </x:c>
      <x:c r="C13" s="46" t="n">
        <x:f>COUNTIF('Catálogo Funcional'!$C$6:$C$1000,B13)</x:f>
        <x:v>12</x:v>
      </x:c>
      <x:c r="D13" s="26" t="str">
        <x:v>MVP 1</x:v>
      </x:c>
      <x:c r="E13" s="18" t="str">
        <x:v>Planejar água de mostura e lavagem com rastreabilidade química.</x:v>
      </x:c>
    </x:row>
    <x:row r="14" ht="32" customHeight="1">
      <x:c r="A14" s="25" t="str">
        <x:v>Planejamento</x:v>
      </x:c>
      <x:c r="B14" s="25" t="str">
        <x:v>Receitas</x:v>
      </x:c>
      <x:c r="C14" s="46" t="n">
        <x:f>COUNTIF('Catálogo Funcional'!$C$6:$C$1000,B14)</x:f>
        <x:v>26</x:v>
      </x:c>
      <x:c r="D14" s="26" t="str">
        <x:v>MVP 1</x:v>
      </x:c>
      <x:c r="E14" s="18" t="str">
        <x:v>Criar, calcular, versionar e comparar receitas completas.</x:v>
      </x:c>
    </x:row>
    <x:row r="15" ht="32" customHeight="1">
      <x:c r="A15" s="25" t="str">
        <x:v>Planejamento</x:v>
      </x:c>
      <x:c r="B15" s="25" t="str">
        <x:v>Planejamento de Produção</x:v>
      </x:c>
      <x:c r="C15" s="46" t="n">
        <x:f>COUNTIF('Catálogo Funcional'!$C$6:$C$1000,B15)</x:f>
        <x:v>9</x:v>
      </x:c>
      <x:c r="D15" s="26" t="str">
        <x:v>MVP 1</x:v>
      </x:c>
      <x:c r="E15" s="18" t="str">
        <x:v>Transformar demanda e receita em programação viável.</x:v>
      </x:c>
    </x:row>
    <x:row r="16" ht="32" customHeight="1">
      <x:c r="A16" s="25" t="str">
        <x:v>Produção</x:v>
      </x:c>
      <x:c r="B16" s="25" t="str">
        <x:v>Ordens e Lotes de Produção</x:v>
      </x:c>
      <x:c r="C16" s="46" t="n">
        <x:f>COUNTIF('Catálogo Funcional'!$C$6:$C$1000,B16)</x:f>
        <x:v>10</x:v>
      </x:c>
      <x:c r="D16" s="26" t="str">
        <x:v>MVP 2</x:v>
      </x:c>
      <x:c r="E16" s="18" t="str">
        <x:v>Controlar o ciclo de vida do lote e separar plano de execução.</x:v>
      </x:c>
    </x:row>
    <x:row r="17" ht="32" customHeight="1">
      <x:c r="A17" s="25" t="str">
        <x:v>Produção</x:v>
      </x:c>
      <x:c r="B17" s="25" t="str">
        <x:v>Assistente de Produção</x:v>
      </x:c>
      <x:c r="C17" s="46" t="n">
        <x:f>COUNTIF('Catálogo Funcional'!$C$6:$C$1000,B17)</x:f>
        <x:v>20</x:v>
      </x:c>
      <x:c r="D17" s="26" t="str">
        <x:v>MVP 2</x:v>
      </x:c>
      <x:c r="E17" s="18" t="str">
        <x:v>Guiar a brassagem em tempo real e calcular correções seguras.</x:v>
      </x:c>
    </x:row>
    <x:row r="18" ht="32" customHeight="1">
      <x:c r="A18" s="25" t="str">
        <x:v>Produção</x:v>
      </x:c>
      <x:c r="B18" s="25" t="str">
        <x:v>Limpeza e Sanitização</x:v>
      </x:c>
      <x:c r="C18" s="46" t="n">
        <x:f>COUNTIF('Catálogo Funcional'!$C$6:$C$1000,B18)</x:f>
        <x:v>29</x:v>
      </x:c>
      <x:c r="D18" s="26" t="str">
        <x:v>MVP 2</x:v>
      </x:c>
      <x:c r="E18" s="18" t="str">
        <x:v>Padronizar limpeza, sanitização e liberação dos equipamentos.</x:v>
      </x:c>
    </x:row>
    <x:row r="19" ht="32" customHeight="1">
      <x:c r="A19" s="25" t="str">
        <x:v>Produção</x:v>
      </x:c>
      <x:c r="B19" s="25" t="str">
        <x:v>Fermentação e Adega</x:v>
      </x:c>
      <x:c r="C19" s="46" t="n">
        <x:f>COUNTIF('Catálogo Funcional'!$C$6:$C$1000,B19)</x:f>
        <x:v>14</x:v>
      </x:c>
      <x:c r="D19" s="26" t="str">
        <x:v>MVP 3</x:v>
      </x:c>
      <x:c r="E19" s="18" t="str">
        <x:v>Acompanhar fermentação, maturação, transferências e estabilidade.</x:v>
      </x:c>
    </x:row>
    <x:row r="20" ht="32" customHeight="1">
      <x:c r="A20" s="25" t="str">
        <x:v>Produção</x:v>
      </x:c>
      <x:c r="B20" s="25" t="str">
        <x:v>Envase e Carbonatação</x:v>
      </x:c>
      <x:c r="C20" s="46" t="n">
        <x:f>COUNTIF('Catálogo Funcional'!$C$6:$C$1000,B20)</x:f>
        <x:v>12</x:v>
      </x:c>
      <x:c r="D20" s="26" t="str">
        <x:v>MVP 3</x:v>
      </x:c>
      <x:c r="E20" s="18" t="str">
        <x:v>Controlar carbonatação, transferência e unidades produzidas.</x:v>
      </x:c>
    </x:row>
    <x:row r="21" ht="32" customHeight="1">
      <x:c r="A21" s="25" t="str">
        <x:v>Suprimentos</x:v>
      </x:c>
      <x:c r="B21" s="25" t="str">
        <x:v>Estoque e Lotes de Insumos</x:v>
      </x:c>
      <x:c r="C21" s="46" t="n">
        <x:f>COUNTIF('Catálogo Funcional'!$C$6:$C$1000,B21)</x:f>
        <x:v>15</x:v>
      </x:c>
      <x:c r="D21" s="26" t="str">
        <x:v>MVP 3</x:v>
      </x:c>
      <x:c r="E21" s="18" t="str">
        <x:v>Rastrear saldo, validade, reserva, consumo e custo por lote.</x:v>
      </x:c>
    </x:row>
    <x:row r="22" ht="32" customHeight="1">
      <x:c r="A22" s="25" t="str">
        <x:v>Suprimentos</x:v>
      </x:c>
      <x:c r="B22" s="25" t="str">
        <x:v>Compras e Fornecedores</x:v>
      </x:c>
      <x:c r="C22" s="46" t="n">
        <x:f>COUNTIF('Catálogo Funcional'!$C$6:$C$1000,B22)</x:f>
        <x:v>10</x:v>
      </x:c>
      <x:c r="D22" s="26" t="str">
        <x:v>Evolução</x:v>
      </x:c>
      <x:c r="E22" s="18" t="str">
        <x:v>Planejar reposições e acompanhar aquisição dos insumos.</x:v>
      </x:c>
    </x:row>
    <x:row r="23" ht="32" customHeight="1">
      <x:c r="A23" s="25" t="str">
        <x:v>Qualidade</x:v>
      </x:c>
      <x:c r="B23" s="25" t="str">
        <x:v>Qualidade e Laboratório</x:v>
      </x:c>
      <x:c r="C23" s="46" t="n">
        <x:f>COUNTIF('Catálogo Funcional'!$C$6:$C$1000,B23)</x:f>
        <x:v>14</x:v>
      </x:c>
      <x:c r="D23" s="26" t="str">
        <x:v>Evolução</x:v>
      </x:c>
      <x:c r="E23" s="18" t="str">
        <x:v>Controlar medições, amostras, especificações e não conformidades.</x:v>
      </x:c>
    </x:row>
    <x:row r="24" ht="32" customHeight="1">
      <x:c r="A24" s="25" t="str">
        <x:v>Qualidade</x:v>
      </x:c>
      <x:c r="B24" s="25" t="str">
        <x:v>Avaliação Sensorial</x:v>
      </x:c>
      <x:c r="C24" s="46" t="n">
        <x:f>COUNTIF('Catálogo Funcional'!$C$6:$C$1000,B24)</x:f>
        <x:v>9</x:v>
      </x:c>
      <x:c r="D24" s="26" t="str">
        <x:v>Evolução</x:v>
      </x:c>
      <x:c r="E24" s="18" t="str">
        <x:v>Relacionar percepção sensorial, processo e evolução da receita.</x:v>
      </x:c>
    </x:row>
    <x:row r="25" ht="32" customHeight="1">
      <x:c r="A25" s="25" t="str">
        <x:v>Gestão</x:v>
      </x:c>
      <x:c r="B25" s="25" t="str">
        <x:v>Custos e Rentabilidade</x:v>
      </x:c>
      <x:c r="C25" s="46" t="n">
        <x:f>COUNTIF('Catálogo Funcional'!$C$6:$C$1000,B25)</x:f>
        <x:v>10</x:v>
      </x:c>
      <x:c r="D25" s="26" t="str">
        <x:v>MVP 3</x:v>
      </x:c>
      <x:c r="E25" s="18" t="str">
        <x:v>Comparar custo planejado e realizado por lote, litro e embalagem.</x:v>
      </x:c>
    </x:row>
    <x:row r="26" ht="32" customHeight="1">
      <x:c r="A26" s="25" t="str">
        <x:v>Gestão</x:v>
      </x:c>
      <x:c r="B26" s="25" t="str">
        <x:v>Relatórios e Indicadores</x:v>
      </x:c>
      <x:c r="C26" s="46" t="n">
        <x:f>COUNTIF('Catálogo Funcional'!$C$6:$C$1000,B26)</x:f>
        <x:v>12</x:v>
      </x:c>
      <x:c r="D26" s="26" t="str">
        <x:v>Evolução</x:v>
      </x:c>
      <x:c r="E26" s="18" t="str">
        <x:v>Transformar histórico em decisões operacionais e técnicas.</x:v>
      </x:c>
    </x:row>
    <x:row r="27" ht="32" customHeight="1">
      <x:c r="A27" s="25" t="str">
        <x:v>Inteligência</x:v>
      </x:c>
      <x:c r="B27" s="25" t="str">
        <x:v>IA e Base de Conhecimento</x:v>
      </x:c>
      <x:c r="C27" s="46" t="n">
        <x:f>COUNTIF('Catálogo Funcional'!$C$6:$C$1000,B27)</x:f>
        <x:v>15</x:v>
      </x:c>
      <x:c r="D27" s="26" t="str">
        <x:v>Evolução</x:v>
      </x:c>
      <x:c r="E27" s="18" t="str">
        <x:v>Usar IA com evidências sem substituir regras determinísticas ou aprovação humana.</x:v>
      </x:c>
    </x:row>
    <x:row r="28" ht="32" customHeight="1">
      <x:c r="A28" s="25" t="str">
        <x:v>Plataforma</x:v>
      </x:c>
      <x:c r="B28" s="25" t="str">
        <x:v>Alertas e Notificações</x:v>
      </x:c>
      <x:c r="C28" s="46" t="n">
        <x:f>COUNTIF('Catálogo Funcional'!$C$6:$C$1000,B28)</x:f>
        <x:v>9</x:v>
      </x:c>
      <x:c r="D28" s="26" t="str">
        <x:v>MVP 2</x:v>
      </x:c>
      <x:c r="E28" s="18" t="str">
        <x:v>Avisar eventos relevantes sem gerar ruído desnecessário.</x:v>
      </x:c>
    </x:row>
    <x:row r="29" ht="32" customHeight="1">
      <x:c r="A29" s="25" t="str">
        <x:v>Plataforma</x:v>
      </x:c>
      <x:c r="B29" s="25" t="str">
        <x:v>Integrações e Importações</x:v>
      </x:c>
      <x:c r="C29" s="46" t="n">
        <x:f>COUNTIF('Catálogo Funcional'!$C$6:$C$1000,B29)</x:f>
        <x:v>12</x:v>
      </x:c>
      <x:c r="D29" s="26" t="str">
        <x:v>Evolução</x:v>
      </x:c>
      <x:c r="E29" s="18" t="str">
        <x:v>Trocar dados com sensores, formatos cervejeiros e serviços externos.</x:v>
      </x:c>
    </x:row>
    <x:row r="30" ht="32" customHeight="1">
      <x:c r="A30" s="25" t="str">
        <x:v>Plataforma</x:v>
      </x:c>
      <x:c r="B30" s="25" t="str">
        <x:v>Auditoria e Administração</x:v>
      </x:c>
      <x:c r="C30" s="46" t="n">
        <x:f>COUNTIF('Catálogo Funcional'!$C$6:$C$1000,B30)</x:f>
        <x:v>10</x:v>
      </x:c>
      <x:c r="D30" s="26" t="str">
        <x:v>MVP 1</x:v>
      </x:c>
      <x:c r="E30" s="18" t="str">
        <x:v>Garantir governança, suporte e rastreabilidade das operações.</x:v>
      </x:c>
    </x:row>
    <x:row r="31" ht="32" customHeight="1">
      <x:c r="A31" s="25" t="str">
        <x:v>Plataforma</x:v>
      </x:c>
      <x:c r="B31" s="25" t="str">
        <x:v>PWA e Experiência de Produção</x:v>
      </x:c>
      <x:c r="C31" s="46" t="n">
        <x:f>COUNTIF('Catálogo Funcional'!$C$6:$C$1000,B31)</x:f>
        <x:v>8</x:v>
      </x:c>
      <x:c r="D31" s="26" t="str">
        <x:v>Evolução</x:v>
      </x:c>
      <x:c r="E31" s="18" t="str">
        <x:v>Permitir uso simples, responsivo e resiliente no ambiente de produção.</x:v>
      </x:c>
    </x:row>
    <x:row r="32" ht="32" customHeight="1">
      <x:c r="A32" s="25" t="str">
        <x:v>Produção</x:v>
      </x:c>
      <x:c r="B32" s="25" t="str">
        <x:v>Banco e Reutilização de Levedura</x:v>
      </x:c>
      <x:c r="C32" s="46" t="n">
        <x:f>COUNTIF('Catálogo Funcional'!$C$6:$C$1000,B32)</x:f>
        <x:v>12</x:v>
      </x:c>
      <x:c r="D32" s="26" t="str">
        <x:v>Evolução</x:v>
      </x:c>
      <x:c r="E32" s="18" t="str">
        <x:v>Controlar linhagem, coleta, armazenamento e desempenho das gerações de levedura.</x:v>
      </x:c>
    </x:row>
    <x:row r="33" ht="32" customHeight="1">
      <x:c r="A33" s="25" t="str">
        <x:v>Qualidade</x:v>
      </x:c>
      <x:c r="B33" s="25" t="str">
        <x:v>Metrologia e Confiabilidade das Medições</x:v>
      </x:c>
      <x:c r="C33" s="46" t="n">
        <x:f>COUNTIF('Catálogo Funcional'!$C$6:$C$1000,B33)</x:f>
        <x:v>12</x:v>
      </x:c>
      <x:c r="D33" s="26" t="str">
        <x:v>MVP 3</x:v>
      </x:c>
      <x:c r="E33" s="18" t="str">
        <x:v>Garantir que decisões e correções sejam baseadas em medições confiáveis.</x:v>
      </x:c>
    </x:row>
    <x:row r="34" ht="32" customHeight="1">
      <x:c r="A34" s="25" t="str">
        <x:v>Inteligência</x:v>
      </x:c>
      <x:c r="B34" s="25" t="str">
        <x:v>Gêmeo Digital e Controle Estatístico</x:v>
      </x:c>
      <x:c r="C34" s="46" t="n">
        <x:f>COUNTIF('Catálogo Funcional'!$C$6:$C$1000,B34)</x:f>
        <x:v>12</x:v>
      </x:c>
      <x:c r="D34" s="26" t="str">
        <x:v>Evolução</x:v>
      </x:c>
      <x:c r="E34" s="18" t="str">
        <x:v>Aprender o comportamento real dos equipamentos e antecipar desvios.</x:v>
      </x:c>
    </x:row>
    <x:row r="35" ht="32" customHeight="1">
      <x:c r="A35" s="25" t="str">
        <x:v>Qualidade</x:v>
      </x:c>
      <x:c r="B35" s="25" t="str">
        <x:v>Frescor, Oxigênio e Vida Útil</x:v>
      </x:c>
      <x:c r="C35" s="46" t="n">
        <x:f>COUNTIF('Catálogo Funcional'!$C$6:$C$1000,B35)</x:f>
        <x:v>12</x:v>
      </x:c>
      <x:c r="D35" s="26" t="str">
        <x:v>Evolução</x:v>
      </x:c>
      <x:c r="E35" s="18" t="str">
        <x:v>Reduzir oxidação e estimar estabilidade do produto envasado.</x:v>
      </x:c>
    </x:row>
    <x:row r="36" ht="32" customHeight="1">
      <x:c r="A36" s="25" t="str">
        <x:v>Qualidade</x:v>
      </x:c>
      <x:c r="B36" s="25" t="str">
        <x:v>Segurança dos Alimentos e Conformidade</x:v>
      </x:c>
      <x:c r="C36" s="46" t="n">
        <x:f>COUNTIF('Catálogo Funcional'!$C$6:$C$1000,B36)</x:f>
        <x:v>14</x:v>
      </x:c>
      <x:c r="D36" s="26" t="str">
        <x:v>Evolução</x:v>
      </x:c>
      <x:c r="E36" s="18" t="str">
        <x:v>Controlar perigos, alergênicos, documentação regulatória e resposta a incidentes.</x:v>
      </x:c>
    </x:row>
    <x:row r="37" ht="32" customHeight="1">
      <x:c r="A37" s="25" t="str">
        <x:v>Gestão</x:v>
      </x:c>
      <x:c r="B37" s="25" t="str">
        <x:v>Utilidades e Sustentabilidade</x:v>
      </x:c>
      <x:c r="C37" s="46" t="n">
        <x:f>COUNTIF('Catálogo Funcional'!$C$6:$C$1000,B37)</x:f>
        <x:v>12</x:v>
      </x:c>
      <x:c r="D37" s="26" t="str">
        <x:v>Evolução</x:v>
      </x:c>
      <x:c r="E37" s="18" t="str">
        <x:v>Medir consumo, custo e impacto ambiental por etapa e litro produzido.</x:v>
      </x:c>
    </x:row>
    <x:row r="38" ht="32" customHeight="1">
      <x:c r="A38" s="25" t="str">
        <x:v>Planejamento</x:v>
      </x:c>
      <x:c r="B38" s="25" t="str">
        <x:v>Experimentação e Otimização de Receitas</x:v>
      </x:c>
      <x:c r="C38" s="46" t="n">
        <x:f>COUNTIF('Catálogo Funcional'!$C$6:$C$1000,B38)</x:f>
        <x:v>12</x:v>
      </x:c>
      <x:c r="D38" s="26" t="str">
        <x:v>Evolução</x:v>
      </x:c>
      <x:c r="E38" s="18" t="str">
        <x:v>Executar experimentos controlados e transformar resultados em novas versões de receita.</x:v>
      </x:c>
    </x:row>
    <x:row r="39" ht="32" customHeight="1">
      <x:c r="A39" s="25" t="str">
        <x:v>Suprimentos</x:v>
      </x:c>
      <x:c r="B39" s="25" t="str">
        <x:v>CO₂ e Gases de Processo</x:v>
      </x:c>
      <x:c r="C39" s="46" t="n">
        <x:f>COUNTIF('Catálogo Funcional'!$C$6:$C$1000,B39)</x:f>
        <x:v>10</x:v>
      </x:c>
      <x:c r="D39" s="26" t="str">
        <x:v>MVP 3</x:v>
      </x:c>
      <x:c r="E39" s="18" t="str">
        <x:v>Controlar disponibilidade, segurança, consumo e qualidade dos gases.</x:v>
      </x:c>
    </x:row>
    <x:row r="40" ht="32" customHeight="1">
      <x:c r="A40" s="25" t="str">
        <x:v>Produção</x:v>
      </x:c>
      <x:c r="B40" s="25" t="str">
        <x:v>Blend, Reprocesso e Genealogia</x:v>
      </x:c>
      <x:c r="C40" s="46" t="n">
        <x:f>COUNTIF('Catálogo Funcional'!$C$6:$C$1000,B40)</x:f>
        <x:v>10</x:v>
      </x:c>
      <x:c r="D40" s="26" t="str">
        <x:v>Evolução</x:v>
      </x:c>
      <x:c r="E40" s="18" t="str">
        <x:v>Permitir correções controladas sem perder a origem de cada volume.</x:v>
      </x:c>
    </x:row>
    <x:row r="41" ht="32" customHeight="1">
      <x:c r="A41" s="25" t="str">
        <x:v>Qualidade</x:v>
      </x:c>
      <x:c r="B41" s="25" t="str">
        <x:v>Qualidade de Campo e Feedback</x:v>
      </x:c>
      <x:c r="C41" s="46" t="n">
        <x:f>COUNTIF('Catálogo Funcional'!$C$6:$C$1000,B41)</x:f>
        <x:v>8</x:v>
      </x:c>
      <x:c r="D41" s="26" t="str">
        <x:v>Evolução</x:v>
      </x:c>
      <x:c r="E41" s="18" t="str">
        <x:v>Relacionar experiência do consumidor e condição de mercado ao lote produzido.</x:v>
      </x:c>
    </x:row>
  </x:sheetData>
  <x:mergeCells>
    <x:mergeCell ref="A1:E1"/>
    <x:mergeCell ref="A2:E2"/>
    <x:mergeCell ref="A4:B4"/>
  </x:mergeCells>
  <x:pageMargins left="0.7" right="0.7" top="0.75" bottom="0.75" header="0.3" footer="0.3"/>
  <x:tableParts count="1">
    <x:tablePart xmlns:r="http://schemas.openxmlformats.org/officeDocument/2006/relationships" r:id="Ra280c4c9507046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6" hidden="0" customWidth="1"/>
    <x:col min="3" max="3" width="21" hidden="0" customWidth="1"/>
    <x:col min="4" max="4" width="31" hidden="0" customWidth="1"/>
    <x:col min="5" max="5" width="20" hidden="0" customWidth="1"/>
    <x:col min="6" max="6" width="49" hidden="0" customWidth="1"/>
    <x:col min="7" max="7" width="40" hidden="0" customWidth="1"/>
    <x:col min="8" max="8" width="39" hidden="0" customWidth="1"/>
    <x:col min="9" max="9" width="40" hidden="0" customWidth="1"/>
    <x:col min="10" max="10" width="28" hidden="0" customWidth="1"/>
    <x:col min="11" max="11" width="36" hidden="0" customWidth="1"/>
  </x:cols>
  <x:sheetData>
    <x:row r="1" ht="34" customHeight="1">
      <x:c r="A1" s="3" t="str">
        <x:v>MATRIZ OPERACIONAL DE LIMPEZA E SANITIZAÇÃO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7" t="str">
        <x:v>Referência funcional da BrassIA. Parâmetros exatos de produto, concentração, temperatura e tempo devem vir do fabricante, POP aprovado e FISPQ/SDS vigente.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 ht="25" customHeight="1">
      <x:c r="A3" s="10" t="str">
        <x:v>EQUIPAMENTOS MAPEADOS</x:v>
      </x:c>
      <x:c r="B3" s="10"/>
      <x:c r="C3" s="13" t="n">
        <x:v>18</x:v>
      </x:c>
      <x:c r="D3" s="13" t="str">
        <x:v>REGRA CENTRAL</x:v>
      </x:c>
      <x:c r="E3" s="13"/>
      <x:c r="F3" s="13"/>
      <x:c r="G3" s="13" t="str">
        <x:v>Limpeza aprovada → enxágue verificado → sanitização → liberação</x:v>
      </x:c>
      <x:c r="H3" s="13"/>
      <x:c r="I3" s="13"/>
      <x:c r="J3" s="13"/>
      <x:c r="K3" s="13"/>
    </x:row>
    <x:row r="5" ht="30" customHeight="1">
      <x:c r="A5" s="37" t="str">
        <x:v>ID</x:v>
      </x:c>
      <x:c r="B5" s="37" t="str">
        <x:v>Equipamento</x:v>
      </x:c>
      <x:c r="C5" s="37" t="str">
        <x:v>Material / risco</x:v>
      </x:c>
      <x:c r="D5" s="37" t="str">
        <x:v>Sujidade principal</x:v>
      </x:c>
      <x:c r="E5" s="37" t="str">
        <x:v>Método ideal</x:v>
      </x:c>
      <x:c r="F5" s="37" t="str">
        <x:v>Sequência recomendada</x:v>
      </x:c>
      <x:c r="G5" s="37" t="str">
        <x:v>Alternativas</x:v>
      </x:c>
      <x:c r="H5" s="37" t="str">
        <x:v>Evitar / bloquear</x:v>
      </x:c>
      <x:c r="I5" s="37" t="str">
        <x:v>Verificação</x:v>
      </x:c>
      <x:c r="J5" s="37" t="str">
        <x:v>Gatilho / frequência</x:v>
      </x:c>
      <x:c r="K5" s="37" t="str">
        <x:v>Critério de liberação</x:v>
      </x:c>
    </x:row>
    <x:row r="6" ht="52" customHeight="1">
      <x:c r="A6" s="48" t="str">
        <x:v>SAN.01</x:v>
      </x:c>
      <x:c r="B6" s="42" t="str">
        <x:v>Panela de mostura/fervura</x:v>
      </x:c>
      <x:c r="C6" s="17" t="str">
        <x:v>Inox · lado quente</x:v>
      </x:c>
      <x:c r="D6" s="17" t="str">
        <x:v>Proteína, amido, lúpulo e incrustação</x:v>
      </x:c>
      <x:c r="E6" s="17" t="str">
        <x:v>CIP ou manual</x:v>
      </x:c>
      <x:c r="F6" s="17" t="str">
        <x:v>Pré-enxágue → alcalino → enxágue → ácido periódico → enxágue</x:v>
      </x:c>
      <x:c r="G6" s="17" t="str">
        <x:v>Alcalino oxigenado; ação manual nas partes abertas</x:v>
      </x:c>
      <x:c r="H6" s="17" t="str">
        <x:v>Abrasivos; clorados incompatíveis; choque térmico</x:v>
      </x:c>
      <x:c r="I6" s="17" t="str">
        <x:v>Visual, pH/condutividade do enxágue e inspeção de resistência/fundo</x:v>
      </x:c>
      <x:c r="J6" s="17" t="str">
        <x:v>Após uso; ácido por condição ou plano</x:v>
      </x:c>
      <x:c r="K6" s="17" t="str">
        <x:v>Sem resíduo, odor, espuma ou depósito</x:v>
      </x:c>
    </x:row>
    <x:row r="7" ht="52" customHeight="1">
      <x:c r="A7" s="24" t="str">
        <x:v>SAN.02</x:v>
      </x:c>
      <x:c r="B7" s="25" t="str">
        <x:v>Tanque de água quente</x:v>
      </x:c>
      <x:c r="C7" s="18" t="str">
        <x:v>Inox · água</x:v>
      </x:c>
      <x:c r="D7" s="18" t="str">
        <x:v>Depósito mineral e biofilme por estagnação</x:v>
      </x:c>
      <x:c r="E7" s="18" t="str">
        <x:v>CIP/desincrustação</x:v>
      </x:c>
      <x:c r="F7" s="18" t="str">
        <x:v>Drenar → enxaguar → ácido compatível → enxaguar → sanitizar se necessário</x:v>
      </x:c>
      <x:c r="G7" s="18" t="str">
        <x:v>Circulação térmica quando projetado</x:v>
      </x:c>
      <x:c r="H7" s="18" t="str">
        <x:v>Produto incompatível com juntas ou resistência</x:v>
      </x:c>
      <x:c r="I7" s="18" t="str">
        <x:v>Visual, condutividade, pontos mortos e condição da água</x:v>
      </x:c>
      <x:c r="J7" s="18" t="str">
        <x:v>Por inspeção, dureza e tempo parado</x:v>
      </x:c>
      <x:c r="K7" s="18" t="str">
        <x:v>Superfície livre de depósito e água conforme</x:v>
      </x:c>
    </x:row>
    <x:row r="8" ht="52" customHeight="1">
      <x:c r="A8" s="24" t="str">
        <x:v>SAN.03</x:v>
      </x:c>
      <x:c r="B8" s="25" t="str">
        <x:v>Resfriador de placas</x:v>
      </x:c>
      <x:c r="C8" s="18" t="str">
        <x:v>Inox/braze · alto risco</x:v>
      </x:c>
      <x:c r="D8" s="18" t="str">
        <x:v>Proteína, trub, lúpulo e biofilme interno</x:v>
      </x:c>
      <x:c r="E8" s="18" t="str">
        <x:v>CIP bidirecional</x:v>
      </x:c>
      <x:c r="F8" s="18" t="str">
        <x:v>Enxágue reverso imediato → alcalino nos dois sentidos → enxágue → ácido programado → sanitização</x:v>
      </x:c>
      <x:c r="G8" s="18" t="str">
        <x:v>Água quente ou térmico somente com autorização do fabricante</x:v>
      </x:c>
      <x:c r="H8" s="18" t="str">
        <x:v>Fluxo baixo; deixar sujidade secar; químico incompatível com brasagem</x:v>
      </x:c>
      <x:c r="I8" s="18" t="str">
        <x:v>Vazão, diferencial de pressão, temperatura, ATP/micro quando aplicável</x:v>
      </x:c>
      <x:c r="J8" s="18" t="str">
        <x:v>Após cada uso; validação periódica</x:v>
      </x:c>
      <x:c r="K8" s="18" t="str">
        <x:v>Fluxo de referência recuperado e verificação aprovada</x:v>
      </x:c>
    </x:row>
    <x:row r="9" ht="52" customHeight="1">
      <x:c r="A9" s="24" t="str">
        <x:v>SAN.04</x:v>
      </x:c>
      <x:c r="B9" s="25" t="str">
        <x:v>Fermentador inox</x:v>
      </x:c>
      <x:c r="C9" s="18" t="str">
        <x:v>Inox · lado frio crítico</x:v>
      </x:c>
      <x:c r="D9" s="18" t="str">
        <x:v>Levedura, krausen, lúpulo, pedra de cerveja</x:v>
      </x:c>
      <x:c r="E9" s="18" t="str">
        <x:v>CIP fechado</x:v>
      </x:c>
      <x:c r="F9" s="18" t="str">
        <x:v>Pré-enxágue → alcalino → enxágue → ácido conforme plano → enxágue → sanitização pré-uso</x:v>
      </x:c>
      <x:c r="G9" s="18" t="str">
        <x:v>Térmico quando certificado; manual apenas como exceção controlada</x:v>
      </x:c>
      <x:c r="H9" s="18" t="str">
        <x:v>Entrada sem despressurização; ciclo sem cobertura; clorados</x:v>
      </x:c>
      <x:c r="I9" s="18" t="str">
        <x:v>Cobertura da esfera, ATP/micro, juntas, válvulas e enxágue</x:v>
      </x:c>
      <x:c r="J9" s="18" t="str">
        <x:v>Após esvaziamento e antes do uso</x:v>
      </x:c>
      <x:c r="K9" s="18" t="str">
        <x:v>Ciclo aprovado, acessórios montados e equipamento liberado</x:v>
      </x:c>
    </x:row>
    <x:row r="10" ht="52" customHeight="1">
      <x:c r="A10" s="24" t="str">
        <x:v>SAN.05</x:v>
      </x:c>
      <x:c r="B10" s="25" t="str">
        <x:v>Fermentador plástico</x:v>
      </x:c>
      <x:c r="C10" s="18" t="str">
        <x:v>HDPE/PET · sensível a risco</x:v>
      </x:c>
      <x:c r="D10" s="18" t="str">
        <x:v>Levedura, krausen, aroma e biofilme em riscos</x:v>
      </x:c>
      <x:c r="E10" s="18" t="str">
        <x:v>Manual/COP não abrasivo</x:v>
      </x:c>
      <x:c r="F10" s="18" t="str">
        <x:v>Enxágue → produto compatível → ação suave → enxágue → sanitização</x:v>
      </x:c>
      <x:c r="G10" s="18" t="str">
        <x:v>Alcalino oxigenado e imersão conforme fabricante</x:v>
      </x:c>
      <x:c r="H10" s="18" t="str">
        <x:v>Escova abrasiva; alta temperatura; químico agressivo</x:v>
      </x:c>
      <x:c r="I10" s="18" t="str">
        <x:v>Visual, odor, deformação, riscos e ATP quando disponível</x:v>
      </x:c>
      <x:c r="J10" s="18" t="str">
        <x:v>Após uso e antes do uso</x:v>
      </x:c>
      <x:c r="K10" s="18" t="str">
        <x:v>Sem risco profundo, odor, mancha persistente ou deformação</x:v>
      </x:c>
    </x:row>
    <x:row r="11" ht="52" customHeight="1">
      <x:c r="A11" s="24" t="str">
        <x:v>SAN.06</x:v>
      </x:c>
      <x:c r="B11" s="25" t="str">
        <x:v>Tanque de maturação/brite</x:v>
      </x:c>
      <x:c r="C11" s="18" t="str">
        <x:v>Inox · lado frio crítico</x:v>
      </x:c>
      <x:c r="D11" s="18" t="str">
        <x:v>Levedura, proteína, pedra de cerveja</x:v>
      </x:c>
      <x:c r="E11" s="18" t="str">
        <x:v>CIP fechado</x:v>
      </x:c>
      <x:c r="F11" s="18" t="str">
        <x:v>Despressurizar seguro → pré-enxágue → alcalino → ácido programado → sanitização</x:v>
      </x:c>
      <x:c r="G11" s="18" t="str">
        <x:v>Térmico quando projetado</x:v>
      </x:c>
      <x:c r="H11" s="18" t="str">
        <x:v>Ciclo com válvula inacessível; limpeza sem desmontagem programada</x:v>
      </x:c>
      <x:c r="I11" s="18" t="str">
        <x:v>ATP/micro, pressão, sprayball e pontos de amostragem</x:v>
      </x:c>
      <x:c r="J11" s="18" t="str">
        <x:v>Após esvaziamento e pré-uso</x:v>
      </x:c>
      <x:c r="K11" s="18" t="str">
        <x:v>Resultado aprovado e teste de pressão/vedação concluído</x:v>
      </x:c>
    </x:row>
    <x:row r="12" ht="52" customHeight="1">
      <x:c r="A12" s="24" t="str">
        <x:v>SAN.07</x:v>
      </x:c>
      <x:c r="B12" s="25" t="str">
        <x:v>Bomba de processo</x:v>
      </x:c>
      <x:c r="C12" s="18" t="str">
        <x:v>Inox/elastômero · ponto móvel</x:v>
      </x:c>
      <x:c r="D12" s="18" t="str">
        <x:v>Sólidos, proteína e resíduo atrás do selo</x:v>
      </x:c>
      <x:c r="E12" s="18" t="str">
        <x:v>CIP + COP periódico</x:v>
      </x:c>
      <x:c r="F12" s="18" t="str">
        <x:v>Circular → enxaguar → desmontar conforme plano → limpar rotor/selo → sanitizar</x:v>
      </x:c>
      <x:c r="G12" s="18" t="str">
        <x:v>Banho ultrassônico para peças, sem substituir sanitização</x:v>
      </x:c>
      <x:c r="H12" s="18" t="str">
        <x:v>Operar a seco; produto incompatível com selo; ignorar cavitação</x:v>
      </x:c>
      <x:c r="I12" s="18" t="str">
        <x:v>Rotor, selo, vazão, ruído, ATP e ausência de resíduo</x:v>
      </x:c>
      <x:c r="J12" s="18" t="str">
        <x:v>Após uso; desmontagem por ciclos/risco</x:v>
      </x:c>
      <x:c r="K12" s="18" t="str">
        <x:v>Montagem correta, vedação e vazão aprovadas</x:v>
      </x:c>
    </x:row>
    <x:row r="13" ht="52" customHeight="1">
      <x:c r="A13" s="24" t="str">
        <x:v>SAN.08</x:v>
      </x:c>
      <x:c r="B13" s="25" t="str">
        <x:v>Válvulas, conexões e juntas</x:v>
      </x:c>
      <x:c r="C13" s="18" t="str">
        <x:v>Inox/elastômero · pontos mortos</x:v>
      </x:c>
      <x:c r="D13" s="18" t="str">
        <x:v>Levedura, trub, biofilme e resíduo preso</x:v>
      </x:c>
      <x:c r="E13" s="18" t="str">
        <x:v>COP programado</x:v>
      </x:c>
      <x:c r="F13" s="18" t="str">
        <x:v>Desmontar → imergir/limpar → enxaguar → inspecionar → sanitizar → remontar</x:v>
      </x:c>
      <x:c r="G13" s="18" t="str">
        <x:v>Ultrassom para peças compatíveis</x:v>
      </x:c>
      <x:c r="H13" s="18" t="str">
        <x:v>Reutilizar junta rachada; montar molhada/suja; mistura de elastômeros</x:v>
      </x:c>
      <x:c r="I13" s="18" t="str">
        <x:v>Visual, deformação, odor, ATP e conferência de montagem</x:v>
      </x:c>
      <x:c r="J13" s="18" t="str">
        <x:v>Por quantidade de ciclos e troca de produto</x:v>
      </x:c>
      <x:c r="K13" s="18" t="str">
        <x:v>Sem resíduo; juntas íntegras; montagem registrada</x:v>
      </x:c>
    </x:row>
    <x:row r="14" ht="52" customHeight="1">
      <x:c r="A14" s="24" t="str">
        <x:v>SAN.09</x:v>
      </x:c>
      <x:c r="B14" s="25" t="str">
        <x:v>Mangueira de silicone</x:v>
      </x:c>
      <x:c r="C14" s="18" t="str">
        <x:v>Silicone · contato móvel</x:v>
      </x:c>
      <x:c r="D14" s="18" t="str">
        <x:v>Mosto, cerveja, lúpulo e umidade residual</x:v>
      </x:c>
      <x:c r="E14" s="18" t="str">
        <x:v>Circulação/imersão</x:v>
      </x:c>
      <x:c r="F14" s="18" t="str">
        <x:v>Enxaguar → circular produto compatível → enxaguar → sanitizar → drenar e secar</x:v>
      </x:c>
      <x:c r="G14" s="18" t="str">
        <x:v>Substituição preventiva; linha dedicada por zona</x:v>
      </x:c>
      <x:c r="H14" s="18" t="str">
        <x:v>Guardar molhada; dobra permanente; usar com odor ou fissura</x:v>
      </x:c>
      <x:c r="I14" s="18" t="str">
        <x:v>Visual interno, odor, transparência, fissura e tempo de drenagem</x:v>
      </x:c>
      <x:c r="J14" s="18" t="str">
        <x:v>Após uso; vida útil por ciclos</x:v>
      </x:c>
      <x:c r="K14" s="18" t="str">
        <x:v>Seca, sem odor, íntegra e dentro da vida útil</x:v>
      </x:c>
    </x:row>
    <x:row r="15" ht="52" customHeight="1">
      <x:c r="A15" s="24" t="str">
        <x:v>SAN.10</x:v>
      </x:c>
      <x:c r="B15" s="25" t="str">
        <x:v>Barril/keg</x:v>
      </x:c>
      <x:c r="C15" s="18" t="str">
        <x:v>Inox · pressão</x:v>
      </x:c>
      <x:c r="D15" s="18" t="str">
        <x:v>Cerveja, levedura, pedra e biofilme</x:v>
      </x:c>
      <x:c r="E15" s="18" t="str">
        <x:v>Lavadora de keg/CIP</x:v>
      </x:c>
      <x:c r="F15" s="18" t="str">
        <x:v>Drenar → pré-enxaguar → alcalino → enxaguar → ácido conforme condição → sanitizar → purgar</x:v>
      </x:c>
      <x:c r="G15" s="18" t="str">
        <x:v>Estação manual validada para pequena escala</x:v>
      </x:c>
      <x:c r="H15" s="18" t="str">
        <x:v>Abrir pressurizado; ciclo sem limpeza do spear; ar comprimido em contato</x:v>
      </x:c>
      <x:c r="I15" s="18" t="str">
        <x:v>Retorno do ciclo, pressão, vazamento, odor e inspeção de válvulas</x:v>
      </x:c>
      <x:c r="J15" s="18" t="str">
        <x:v>A cada retorno/uso</x:v>
      </x:c>
      <x:c r="K15" s="18" t="str">
        <x:v>Sanitizado, purgado, estanque e identificado</x:v>
      </x:c>
    </x:row>
    <x:row r="16" ht="52" customHeight="1">
      <x:c r="A16" s="24" t="str">
        <x:v>SAN.11</x:v>
      </x:c>
      <x:c r="B16" s="25" t="str">
        <x:v>Linhas, torneiras e acopladores</x:v>
      </x:c>
      <x:c r="C16" s="18" t="str">
        <x:v>Polímero/inox · serviço</x:v>
      </x:c>
      <x:c r="D16" s="18" t="str">
        <x:v>Biofilme, levedura, pedra e resíduo de cerveja</x:v>
      </x:c>
      <x:c r="E16" s="18" t="str">
        <x:v>Circulação química</x:v>
      </x:c>
      <x:c r="F16" s="18" t="str">
        <x:v>Retirar cerveja → circular detergente → enxaguar → desmontar torneiras/acopladores → sanitizar</x:v>
      </x:c>
      <x:c r="G16" s="18" t="str">
        <x:v>Mecânico apenas como complemento</x:v>
      </x:c>
      <x:c r="H16" s="18" t="str">
        <x:v>Usar limpeza sônica como substituta; deixar peças sem desmontagem</x:v>
      </x:c>
      <x:c r="I16" s="18" t="str">
        <x:v>Log, inspeção interna, vazão, odor e condição das peças</x:v>
      </x:c>
      <x:c r="J16" s="18" t="str">
        <x:v>No máximo conforme política; referência BA: 14 dias</x:v>
      </x:c>
      <x:c r="K16" s="18" t="str">
        <x:v>Linha limpa, peças montadas e registro concluído</x:v>
      </x:c>
    </x:row>
    <x:row r="17" ht="52" customHeight="1">
      <x:c r="A17" s="24" t="str">
        <x:v>SAN.12</x:v>
      </x:c>
      <x:c r="B17" s="25" t="str">
        <x:v>Linha de envase</x:v>
      </x:c>
      <x:c r="C17" s="18" t="str">
        <x:v>Inox/polímero · lado frio crítico</x:v>
      </x:c>
      <x:c r="D17" s="18" t="str">
        <x:v>Cerveja, açúcar, lubrificante e biofilme</x:v>
      </x:c>
      <x:c r="E17" s="18" t="str">
        <x:v>CIP + COP</x:v>
      </x:c>
      <x:c r="F17" s="18" t="str">
        <x:v>Pré-enxágue → alcalino → enxágue → desmontagem programada → sanitização pré-operação</x:v>
      </x:c>
      <x:c r="G17" s="18" t="str">
        <x:v>Térmico para circuitos compatíveis</x:v>
      </x:c>
      <x:c r="H17" s="18" t="str">
        <x:v>Sanitizar sobre superfície suja; ignorar bicos e mangueiras curtas</x:v>
      </x:c>
      <x:c r="I17" s="18" t="str">
        <x:v>ATP/micro, bicos, mangueiras, vazamento e primeiro produto</x:v>
      </x:c>
      <x:c r="J17" s="18" t="str">
        <x:v>Após operação e antes do envase</x:v>
      </x:c>
      <x:c r="K17" s="18" t="str">
        <x:v>Controles aprovados e linha liberada</x:v>
      </x:c>
    </x:row>
    <x:row r="18" ht="52" customHeight="1">
      <x:c r="A18" s="24" t="str">
        <x:v>SAN.13</x:v>
      </x:c>
      <x:c r="B18" s="25" t="str">
        <x:v>Garrafas retornáveis</x:v>
      </x:c>
      <x:c r="C18" s="18" t="str">
        <x:v>Vidro · embalagem</x:v>
      </x:c>
      <x:c r="D18" s="18" t="str">
        <x:v>Resíduo seco, rótulo, mofo e corpo estranho</x:v>
      </x:c>
      <x:c r="E18" s="18" t="str">
        <x:v>Lavagem + inspeção</x:v>
      </x:c>
      <x:c r="F18" s="18" t="str">
        <x:v>Triagem → pré-lavagem → detergência → enxágue → inspeção → sanitização</x:v>
      </x:c>
      <x:c r="G18" s="18" t="str">
        <x:v>Ciclo térmico quando vidro/processo permitirem</x:v>
      </x:c>
      <x:c r="H18" s="18" t="str">
        <x:v>Reutilizar trincada, lascada, com odor ou sujidade persistente</x:v>
      </x:c>
      <x:c r="I18" s="18" t="str">
        <x:v>Inspeção visual/luminosa, odor, integridade e enxágue</x:v>
      </x:c>
      <x:c r="J18" s="18" t="str">
        <x:v>A cada retorno</x:v>
      </x:c>
      <x:c r="K18" s="18" t="str">
        <x:v>Aprovada na inspeção e sanitizada</x:v>
      </x:c>
    </x:row>
    <x:row r="19" ht="52" customHeight="1">
      <x:c r="A19" s="24" t="str">
        <x:v>SAN.14</x:v>
      </x:c>
      <x:c r="B19" s="25" t="str">
        <x:v>Sensores e sondas</x:v>
      </x:c>
      <x:c r="C19" s="18" t="str">
        <x:v>Inox/vidro/membrana · delicado</x:v>
      </x:c>
      <x:c r="D19" s="18" t="str">
        <x:v>Proteína, sais, levedura e depósito</x:v>
      </x:c>
      <x:c r="E19" s="18" t="str">
        <x:v>Remoção e limpeza compatível</x:v>
      </x:c>
      <x:c r="F19" s="18" t="str">
        <x:v>Retirar → limpar conforme fabricante → enxaguar → sanitizar quando aplicável → recalibrar</x:v>
      </x:c>
      <x:c r="G19" s="18" t="str">
        <x:v>Limpeza no local quando certificada</x:v>
      </x:c>
      <x:c r="H19" s="18" t="str">
        <x:v>Abrasão; imersão de conectores; químico incompatível com membrana</x:v>
      </x:c>
      <x:c r="I19" s="18" t="str">
        <x:v>Resposta, calibração, vedação e inspeção</x:v>
      </x:c>
      <x:c r="J19" s="18" t="str">
        <x:v>Após contato e por plano metrológico</x:v>
      </x:c>
      <x:c r="K19" s="18" t="str">
        <x:v>Limpo, íntegro e calibração válida</x:v>
      </x:c>
    </x:row>
    <x:row r="20" ht="52" customHeight="1">
      <x:c r="A20" s="24" t="str">
        <x:v>SAN.15</x:v>
      </x:c>
      <x:c r="B20" s="25" t="str">
        <x:v>Carcaça e elemento filtrante</x:v>
      </x:c>
      <x:c r="C20" s="18" t="str">
        <x:v>Inox/polímero · alta retenção</x:v>
      </x:c>
      <x:c r="D20" s="18" t="str">
        <x:v>Levedura, proteína, lúpulo e biofilme</x:v>
      </x:c>
      <x:c r="E20" s="18" t="str">
        <x:v>CIP/COP conforme elemento</x:v>
      </x:c>
      <x:c r="F20" s="18" t="str">
        <x:v>Drenar → desmontar quando previsto → limpar carcaça → tratar/substituir elemento → sanitizar</x:v>
      </x:c>
      <x:c r="G20" s="18" t="str">
        <x:v>Térmico ou integridade in situ quando suportado</x:v>
      </x:c>
      <x:c r="H20" s="18" t="str">
        <x:v>Reutilizar elemento descartável; exceder pressão/temperatura</x:v>
      </x:c>
      <x:c r="I20" s="18" t="str">
        <x:v>Teste de integridade, diferencial de pressão e inspeção</x:v>
      </x:c>
      <x:c r="J20" s="18" t="str">
        <x:v>Por uso, pressão e fabricante</x:v>
      </x:c>
      <x:c r="K20" s="18" t="str">
        <x:v>Integridade aprovada e identificação do elemento</x:v>
      </x:c>
    </x:row>
    <x:row r="21" ht="52" customHeight="1">
      <x:c r="A21" s="24" t="str">
        <x:v>SAN.16</x:v>
      </x:c>
      <x:c r="B21" s="25" t="str">
        <x:v>Barril de madeira</x:v>
      </x:c>
      <x:c r="C21" s="18" t="str">
        <x:v>Madeira · poroso/alto risco</x:v>
      </x:c>
      <x:c r="D21" s="18" t="str">
        <x:v>Levedura, microrganismos e compostos absorvidos</x:v>
      </x:c>
      <x:c r="E21" s="18" t="str">
        <x:v>Protocolo dedicado</x:v>
      </x:c>
      <x:c r="F21" s="18" t="str">
        <x:v>Esvaziar → enxaguar/tratar conforme objetivo → inspecionar → controlar microbiologia → armazenar</x:v>
      </x:c>
      <x:c r="G21" s="18" t="str">
        <x:v>Vapor/água quente ou método específico validado</x:v>
      </x:c>
      <x:c r="H21" s="18" t="str">
        <x:v>Aplicar protocolo de inox; ressecar; misturar culturas sem controle</x:v>
      </x:c>
      <x:c r="I21" s="18" t="str">
        <x:v>Aroma, vazamento, inspeção, microbiologia e histórico</x:v>
      </x:c>
      <x:c r="J21" s="18" t="str">
        <x:v>A cada uso e durante armazenamento</x:v>
      </x:c>
      <x:c r="K21" s="18" t="str">
        <x:v>Aprovado para finalidade definida ou segregado</x:v>
      </x:c>
    </x:row>
    <x:row r="22" ht="52" customHeight="1">
      <x:c r="A22" s="24" t="str">
        <x:v>SAN.17</x:v>
      </x:c>
      <x:c r="B22" s="25" t="str">
        <x:v>Utensílios de frutas/especiarias</x:v>
      </x:c>
      <x:c r="C22" s="18" t="str">
        <x:v>Diversos · risco de cruzamento</x:v>
      </x:c>
      <x:c r="D22" s="18" t="str">
        <x:v>Açúcar, polpa, óleo, sementes e microrganismos</x:v>
      </x:c>
      <x:c r="E22" s="18" t="str">
        <x:v>COP/manual dedicado</x:v>
      </x:c>
      <x:c r="F22" s="18" t="str">
        <x:v>Remover sólidos → lavar → enxaguar → sanitizar → secar → segregar</x:v>
      </x:c>
      <x:c r="G22" s="18" t="str">
        <x:v>Equipamentos dedicados ou descartáveis</x:v>
      </x:c>
      <x:c r="H22" s="18" t="str">
        <x:v>Compartilhar sem validação; guardar úmido; ignorar alergênicos</x:v>
      </x:c>
      <x:c r="I22" s="18" t="str">
        <x:v>Visual, odor, ATP e verificação de alergênicos quando aplicável</x:v>
      </x:c>
      <x:c r="J22" s="18" t="str">
        <x:v>Após uso e troca de ingrediente</x:v>
      </x:c>
      <x:c r="K22" s="18" t="str">
        <x:v>Limpo, seco, identificado e liberado para a zona</x:v>
      </x:c>
    </x:row>
    <x:row r="23" ht="52" customHeight="1">
      <x:c r="A23" s="24" t="str">
        <x:v>SAN.18</x:v>
      </x:c>
      <x:c r="B23" s="25" t="str">
        <x:v>Porta de amostra e acessórios</x:v>
      </x:c>
      <x:c r="C23" s="18" t="str">
        <x:v>Inox/elastômero · ponto de entrada</x:v>
      </x:c>
      <x:c r="D23" s="18" t="str">
        <x:v>Cerveja seca, levedura e contaminação ambiental</x:v>
      </x:c>
      <x:c r="E23" s="18" t="str">
        <x:v>COP frequente</x:v>
      </x:c>
      <x:c r="F23" s="18" t="str">
        <x:v>Desmontar → limpar → enxaguar → sanitizar → remontar protegido</x:v>
      </x:c>
      <x:c r="G23" s="18" t="str">
        <x:v>Peça reserva sanitizada para troca rápida</x:v>
      </x:c>
      <x:c r="H23" s="18" t="str">
        <x:v>Coletar sem purga/procedimento; manter peça rachada</x:v>
      </x:c>
      <x:c r="I23" s="18" t="str">
        <x:v>Visual, ATP/micro, vedação e técnica de coleta</x:v>
      </x:c>
      <x:c r="J23" s="18" t="str">
        <x:v>Antes/depois de coleta e por plano</x:v>
      </x:c>
      <x:c r="K23" s="18" t="str">
        <x:v>Montado, protegido e sem vazamento</x:v>
      </x:c>
    </x:row>
  </x:sheetData>
  <x:mergeCells>
    <x:mergeCell ref="A1:K1"/>
    <x:mergeCell ref="A2:K2"/>
    <x:mergeCell ref="A3:B3"/>
    <x:mergeCell ref="D3:F3"/>
    <x:mergeCell ref="G3:K3"/>
  </x:mergeCells>
  <x:dataValidations count="1">
    <x:dataValidation type="list" sqref="E6:E23">
      <x:formula1>"CIP,COP,Manual,Imersão,Térmico,CIP + COP,CIP ou manual,CIP/desincrustação,CIP bidirecional,CIP fechado,Manual/COP não abrasivo,Circulação/imersão,Lavadora de keg/CIP,Circulação química,Lavagem + inspeção,Protocolo dedicado,COP frequente"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146a565c9243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28" hidden="0" customWidth="1"/>
    <x:col min="4" max="4" width="62" hidden="0" customWidth="1"/>
    <x:col min="5" max="5" width="12" hidden="0" customWidth="1"/>
    <x:col min="6" max="6" width="13" hidden="0" customWidth="1"/>
    <x:col min="7" max="7" width="25" hidden="0" customWidth="1"/>
    <x:col min="8" max="8" width="46" hidden="0" customWidth="1"/>
    <x:col min="9" max="9" width="52" hidden="0" customWidth="1"/>
  </x:cols>
  <x:sheetData>
    <x:row r="1" ht="30" customHeight="1">
      <x:c r="A1" s="52" t="str">
        <x:v>MATRIZ FUNCIONAL DO MÓDULO SEGURANÇA</x:v>
      </x:c>
      <x:c r="B1" s="52"/>
      <x:c r="C1" s="52"/>
      <x:c r="D1" s="52"/>
      <x:c r="E1" s="52"/>
      <x:c r="F1" s="52"/>
      <x:c r="G1" s="52"/>
      <x:c r="H1" s="52"/>
      <x:c r="I1" s="52"/>
    </x:row>
    <x:row r="2" ht="32" customHeight="1">
      <x:c r="A2" s="56" t="str">
        <x:v>Núcleo interno da BrassIA: autenticação forte, governança e federação opcional. Provedores externos autenticam; permissões e sessões continuam internas.</x:v>
      </x:c>
      <x:c r="B2" s="56"/>
      <x:c r="C2" s="56"/>
      <x:c r="D2" s="56"/>
      <x:c r="E2" s="56"/>
      <x:c r="F2" s="56"/>
      <x:c r="G2" s="56"/>
      <x:c r="H2" s="56"/>
      <x:c r="I2" s="56"/>
    </x:row>
    <x:row r="3">
      <x:c r="A3" s="59" t="str">
        <x:v>CONTROLES MAPEADOS</x:v>
      </x:c>
      <x:c r="B3" s="59"/>
      <x:c r="C3" s="61" t="n">
        <x:f>COUNTA(A6:A100)</x:f>
        <x:v>32</x:v>
      </x:c>
      <x:c r="D3" s="59" t="str">
        <x:v>FEDERAÇÃO / PROVISIONAMENTO</x:v>
      </x:c>
      <x:c r="E3" s="59"/>
      <x:c r="F3" s="61" t="n">
        <x:f>COUNTIF(B6:B100,"Federação e SSO")+COUNTIF(B6:B100,"Provisionamento")</x:f>
        <x:v>7</x:v>
      </x:c>
      <x:c r="G3" s="59" t="str">
        <x:v>VERSÃO</x:v>
      </x:c>
      <x:c r="H3" s="59"/>
      <x:c r="I3" s="61" t="str">
        <x:v>v4.0</x:v>
      </x:c>
    </x:row>
    <x:row r="5" ht="28" customHeight="1">
      <x:c r="A5" s="66" t="str">
        <x:v>ID</x:v>
      </x:c>
      <x:c r="B5" s="66" t="str">
        <x:v>Área</x:v>
      </x:c>
      <x:c r="C5" s="66" t="str">
        <x:v>Funcionalidade</x:v>
      </x:c>
      <x:c r="D5" s="66" t="str">
        <x:v>Controles essenciais</x:v>
      </x:c>
      <x:c r="E5" s="66" t="str">
        <x:v>Fase</x:v>
      </x:c>
      <x:c r="F5" s="66" t="str">
        <x:v>Prioridade</x:v>
      </x:c>
      <x:c r="G5" s="66" t="str">
        <x:v>Quando usar</x:v>
      </x:c>
      <x:c r="H5" s="66" t="str">
        <x:v>Por quê</x:v>
      </x:c>
      <x:c r="I5" s="66" t="str">
        <x:v>Referência</x:v>
      </x:c>
    </x:row>
    <x:row r="6" ht="54" customHeight="1">
      <x:c r="A6" s="67" t="str">
        <x:v>SEC.01</x:v>
      </x:c>
      <x:c r="B6" s="67" t="str">
        <x:v>Contas</x:v>
      </x:c>
      <x:c r="C6" s="67" t="str">
        <x:v>Usuários e ciclo da conta</x:v>
      </x:c>
      <x:c r="D6" s="67" t="str">
        <x:v>Cadastrar, convidar, verificar, ativar, bloquear, desbloquear e desativar; desativação revoga sessões.</x:v>
      </x:c>
      <x:c r="E6" s="69" t="str">
        <x:v>MVP 1</x:v>
      </x:c>
      <x:c r="F6" s="69" t="str">
        <x:v>Essencial</x:v>
      </x:c>
      <x:c r="G6" s="67" t="str">
        <x:v>Sempre</x:v>
      </x:c>
      <x:c r="H6" s="67" t="str">
        <x:v>Centraliza identidade sem apagar histórico ou deixar acesso órfão.</x:v>
      </x:c>
      <x:c r="I6" s="67" t="str">
        <x:v>https://cheatsheetseries.owasp.org/cheatsheets/Authentication_Cheat_Sheet.html</x:v>
      </x:c>
    </x:row>
    <x:row r="7" ht="54" customHeight="1">
      <x:c r="A7" s="67" t="str">
        <x:v>SEC.02</x:v>
      </x:c>
      <x:c r="B7" s="67" t="str">
        <x:v>Contas</x:v>
      </x:c>
      <x:c r="C7" s="67" t="str">
        <x:v>Convite e verificação</x:v>
      </x:c>
      <x:c r="D7" s="67" t="str">
        <x:v>Token aleatório por hash, uso único, expiração, reenvio controlado e confirmação de e-mail.</x:v>
      </x:c>
      <x:c r="E7" s="69" t="str">
        <x:v>MVP 1</x:v>
      </x:c>
      <x:c r="F7" s="69" t="str">
        <x:v>Essencial</x:v>
      </x:c>
      <x:c r="G7" s="67" t="str">
        <x:v>Cadastro e onboarding</x:v>
      </x:c>
      <x:c r="H7" s="67" t="str">
        <x:v>Evita conta não verificada, replay e enumeração de usuários.</x:v>
      </x:c>
      <x:c r="I7" s="67" t="str">
        <x:v>https://cheatsheetseries.owasp.org/cheatsheets/Forgot_Password_Cheat_Sheet.html</x:v>
      </x:c>
    </x:row>
    <x:row r="8" ht="54" customHeight="1">
      <x:c r="A8" s="67" t="str">
        <x:v>SEC.03</x:v>
      </x:c>
      <x:c r="B8" s="67" t="str">
        <x:v>Autorização</x:v>
      </x:c>
      <x:c r="C8" s="67" t="str">
        <x:v>Grupos de acesso</x:v>
      </x:c>
      <x:c r="D8" s="67" t="str">
        <x:v>Grupos de sistema/customizados, associação de usuários, vigência e comparação de privilégios.</x:v>
      </x:c>
      <x:c r="E8" s="69" t="str">
        <x:v>MVP 1</x:v>
      </x:c>
      <x:c r="F8" s="69" t="str">
        <x:v>Essencial</x:v>
      </x:c>
      <x:c r="G8" s="67" t="str">
        <x:v>Sempre</x:v>
      </x:c>
      <x:c r="H8" s="67" t="str">
        <x:v>Agrupa concessões sem codificar papéis em if/else.</x:v>
      </x:c>
      <x:c r="I8" s="67" t="str">
        <x:v>https://cheatsheetseries.owasp.org/cheatsheets/Authorization_Cheat_Sheet.html</x:v>
      </x:c>
    </x:row>
    <x:row r="9" ht="54" customHeight="1">
      <x:c r="A9" s="67" t="str">
        <x:v>SEC.04</x:v>
      </x:c>
      <x:c r="B9" s="67" t="str">
        <x:v>Autorização</x:v>
      </x:c>
      <x:c r="C9" s="67" t="str">
        <x:v>Domínios e permissões</x:v>
      </x:c>
      <x:c r="D9" s="67" t="str">
        <x:v>Catálogo hierárquico de ações domínio.ação, criticidade, descrição e pesquisa de detentores.</x:v>
      </x:c>
      <x:c r="E9" s="69" t="str">
        <x:v>MVP 1</x:v>
      </x:c>
      <x:c r="F9" s="69" t="str">
        <x:v>Essencial</x:v>
      </x:c>
      <x:c r="G9" s="67" t="str">
        <x:v>Sempre</x:v>
      </x:c>
      <x:c r="H9" s="67" t="str">
        <x:v>Permite menor privilégio, negação por padrão e revisão auditável.</x:v>
      </x:c>
      <x:c r="I9" s="67" t="str">
        <x:v>https://cheatsheetseries.owasp.org/cheatsheets/Authorization_Cheat_Sheet.html</x:v>
      </x:c>
    </x:row>
    <x:row r="10" ht="54" customHeight="1">
      <x:c r="A10" s="67" t="str">
        <x:v>SEC.05</x:v>
      </x:c>
      <x:c r="B10" s="67" t="str">
        <x:v>Autorização</x:v>
      </x:c>
      <x:c r="C10" s="67" t="str">
        <x:v>Escopos de acesso</x:v>
      </x:c>
      <x:c r="D10" s="67" t="str">
        <x:v>Limitar por cervejaria, módulo ou recurso; considerar ownership, estado e vigência.</x:v>
      </x:c>
      <x:c r="E10" s="69" t="str">
        <x:v>MVP 1</x:v>
      </x:c>
      <x:c r="F10" s="69" t="str">
        <x:v>Essencial</x:v>
      </x:c>
      <x:c r="G10" s="67" t="str">
        <x:v>Multi-tenant</x:v>
      </x:c>
      <x:c r="H10" s="67" t="str">
        <x:v>Impede acesso cruzado e grupos excessivamente amplos.</x:v>
      </x:c>
      <x:c r="I10" s="67" t="str">
        <x:v>https://cheatsheetseries.owasp.org/cheatsheets/Authorization_Cheat_Sheet.html</x:v>
      </x:c>
    </x:row>
    <x:row r="11" ht="54" customHeight="1">
      <x:c r="A11" s="67" t="str">
        <x:v>SEC.06</x:v>
      </x:c>
      <x:c r="B11" s="67" t="str">
        <x:v>Evidências</x:v>
      </x:c>
      <x:c r="C11" s="67" t="str">
        <x:v>Histórico de login</x:v>
      </x:c>
      <x:c r="D11" s="67" t="str">
        <x:v>Registrar sucesso/falha, motivo seguro, instante, dispositivo e dados de origem pseudonimizados.</x:v>
      </x:c>
      <x:c r="E11" s="69" t="str">
        <x:v>MVP 1</x:v>
      </x:c>
      <x:c r="F11" s="69" t="str">
        <x:v>Essencial</x:v>
      </x:c>
      <x:c r="G11" s="67" t="str">
        <x:v>Sempre</x:v>
      </x:c>
      <x:c r="H11" s="67" t="str">
        <x:v>Ajuda o usuário a reconhecer abuso sem expor segredo de sessão.</x:v>
      </x:c>
      <x:c r="I11" s="67" t="str">
        <x:v>https://cheatsheetseries.owasp.org/cheatsheets/Logging_Cheat_Sheet.html</x:v>
      </x:c>
    </x:row>
    <x:row r="12" ht="54" customHeight="1">
      <x:c r="A12" s="67" t="str">
        <x:v>SEC.07</x:v>
      </x:c>
      <x:c r="B12" s="67" t="str">
        <x:v>Evidências</x:v>
      </x:c>
      <x:c r="C12" s="67" t="str">
        <x:v>Auditoria de segurança</x:v>
      </x:c>
      <x:c r="D12" s="67" t="str">
        <x:v>Evento append-only com ator, alvo, resultado, justificativa, trace e diff mascarado.</x:v>
      </x:c>
      <x:c r="E12" s="69" t="str">
        <x:v>MVP 1</x:v>
      </x:c>
      <x:c r="F12" s="69" t="str">
        <x:v>Essencial</x:v>
      </x:c>
      <x:c r="G12" s="67" t="str">
        <x:v>Ações administrativas</x:v>
      </x:c>
      <x:c r="H12" s="67" t="str">
        <x:v>Torna concessões e mudanças sensíveis rastreáveis.</x:v>
      </x:c>
      <x:c r="I12" s="67" t="str">
        <x:v>https://cheatsheetseries.owasp.org/cheatsheets/Logging_Cheat_Sheet.html</x:v>
      </x:c>
    </x:row>
    <x:row r="13" ht="54" customHeight="1">
      <x:c r="A13" s="67" t="str">
        <x:v>SEC.08</x:v>
      </x:c>
      <x:c r="B13" s="67" t="str">
        <x:v>Credenciais</x:v>
      </x:c>
      <x:c r="C13" s="67" t="str">
        <x:v>Política de senha</x:v>
      </x:c>
      <x:c r="D13" s="67" t="str">
        <x:v>Encoder adaptativo versionado, blocklist, frases/Unicode e upgrade transparente; sem expiração periódica padrão.</x:v>
      </x:c>
      <x:c r="E13" s="69" t="str">
        <x:v>MVP 1</x:v>
      </x:c>
      <x:c r="F13" s="69" t="str">
        <x:v>Essencial</x:v>
      </x:c>
      <x:c r="G13" s="67" t="str">
        <x:v>Login local</x:v>
      </x:c>
      <x:c r="H13" s="67" t="str">
        <x:v>Reduz senha fraca e custo de políticas que não aumentam segurança.</x:v>
      </x:c>
      <x:c r="I13" s="67" t="str">
        <x:v>https://pages.nist.gov/800-63-4/sp800-63b.html</x:v>
      </x:c>
    </x:row>
    <x:row r="14" ht="54" customHeight="1">
      <x:c r="A14" s="67" t="str">
        <x:v>SEC.09</x:v>
      </x:c>
      <x:c r="B14" s="67" t="str">
        <x:v>Sessão</x:v>
      </x:c>
      <x:c r="C14" s="67" t="str">
        <x:v>Sessões ativas</x:v>
      </x:c>
      <x:c r="D14" s="67" t="str">
        <x:v>Sessão opaca no servidor, cookie __Host-/HttpOnly/Secure/SameSite, timeout e revogação individual/global.</x:v>
      </x:c>
      <x:c r="E14" s="69" t="str">
        <x:v>MVP 1</x:v>
      </x:c>
      <x:c r="F14" s="69" t="str">
        <x:v>Essencial</x:v>
      </x:c>
      <x:c r="G14" s="67" t="str">
        <x:v>Aplicação web</x:v>
      </x:c>
      <x:c r="H14" s="67" t="str">
        <x:v>Evita token no navegador e permite revogação central.</x:v>
      </x:c>
      <x:c r="I14" s="67" t="str">
        <x:v>https://cheatsheetseries.owasp.org/cheatsheets/Session_Management_Cheat_Sheet.html</x:v>
      </x:c>
    </x:row>
    <x:row r="15" ht="54" customHeight="1">
      <x:c r="A15" s="67" t="str">
        <x:v>SEC.10</x:v>
      </x:c>
      <x:c r="B15" s="67" t="str">
        <x:v>Autorização</x:v>
      </x:c>
      <x:c r="C15" s="67" t="str">
        <x:v>Acessos temporários</x:v>
      </x:c>
      <x:c r="D15" s="67" t="str">
        <x:v>Permissão, escopo, motivo, início/fim, solicitante, aprovador, expiração e revogação automática.</x:v>
      </x:c>
      <x:c r="E15" s="69" t="str">
        <x:v>MVP 1</x:v>
      </x:c>
      <x:c r="F15" s="69" t="str">
        <x:v>Essencial</x:v>
      </x:c>
      <x:c r="G15" s="67" t="str">
        <x:v>Suporte e exceções</x:v>
      </x:c>
      <x:c r="H15" s="67" t="str">
        <x:v>Substitui privilégios permanentes por concessões limitadas e justificadas.</x:v>
      </x:c>
      <x:c r="I15" s="67" t="str">
        <x:v>https://cheatsheetseries.owasp.org/cheatsheets/Authorization_Cheat_Sheet.html</x:v>
      </x:c>
    </x:row>
    <x:row r="16" ht="54" customHeight="1">
      <x:c r="A16" s="67" t="str">
        <x:v>SEC.11</x:v>
      </x:c>
      <x:c r="B16" s="67" t="str">
        <x:v>Autenticação forte</x:v>
      </x:c>
      <x:c r="C16" s="67" t="str">
        <x:v>MFA</x:v>
      </x:c>
      <x:c r="D16" s="67" t="str">
        <x:v>Política por risco/grupo, enrollment, reautenticação e recuperação segura.</x:v>
      </x:c>
      <x:c r="E16" s="69" t="str">
        <x:v>MVP 1</x:v>
      </x:c>
      <x:c r="F16" s="69" t="str">
        <x:v>Essencial</x:v>
      </x:c>
      <x:c r="G16" s="67" t="str">
        <x:v>Administradores e ações críticas</x:v>
      </x:c>
      <x:c r="H16" s="67" t="str">
        <x:v>Reduz takeover após roubo de senha.</x:v>
      </x:c>
      <x:c r="I16" s="67" t="str">
        <x:v>https://cheatsheetseries.owasp.org/cheatsheets/Multifactor_Authentication_Cheat_Sheet.html</x:v>
      </x:c>
    </x:row>
    <x:row r="17" ht="54" customHeight="1">
      <x:c r="A17" s="67" t="str">
        <x:v>SEC.12</x:v>
      </x:c>
      <x:c r="B17" s="67" t="str">
        <x:v>Autenticação forte</x:v>
      </x:c>
      <x:c r="C17" s="67" t="str">
        <x:v>Passkeys / WebAuthn</x:v>
      </x:c>
      <x:c r="D17" s="67" t="str">
        <x:v>Challenge, RP ID, origem, assinatura, contador e múltiplos autenticadores; chave privada não sai do dispositivo.</x:v>
      </x:c>
      <x:c r="E17" s="69" t="str">
        <x:v>MVP 1</x:v>
      </x:c>
      <x:c r="F17" s="69" t="str">
        <x:v>Essencial</x:v>
      </x:c>
      <x:c r="G17" s="67" t="str">
        <x:v>Fator preferido</x:v>
      </x:c>
      <x:c r="H17" s="67" t="str">
        <x:v>É resistente a phishing e melhora usabilidade.</x:v>
      </x:c>
      <x:c r="I17" s="67" t="str">
        <x:v>https://www.w3.org/TR/webauthn-3/</x:v>
      </x:c>
    </x:row>
    <x:row r="18" ht="54" customHeight="1">
      <x:c r="A18" s="67" t="str">
        <x:v>SEC.13</x:v>
      </x:c>
      <x:c r="B18" s="67" t="str">
        <x:v>Autenticação forte</x:v>
      </x:c>
      <x:c r="C18" s="67" t="str">
        <x:v>TOTP</x:v>
      </x:c>
      <x:c r="D18" s="67" t="str">
        <x:v>Segredo cifrado com chave externa, confirmação de cadastro, janela curta, replay e revogação.</x:v>
      </x:c>
      <x:c r="E18" s="69" t="str">
        <x:v>MVP 1</x:v>
      </x:c>
      <x:c r="F18" s="69" t="str">
        <x:v>Importante</x:v>
      </x:c>
      <x:c r="G18" s="67" t="str">
        <x:v>Fallback de MFA</x:v>
      </x:c>
      <x:c r="H18" s="67" t="str">
        <x:v>Oferece fator interoperável quando passkey não estiver disponível.</x:v>
      </x:c>
      <x:c r="I18" s="67" t="str">
        <x:v>https://cheatsheetseries.owasp.org/cheatsheets/Multifactor_Authentication_Cheat_Sheet.html</x:v>
      </x:c>
    </x:row>
    <x:row r="19" ht="54" customHeight="1">
      <x:c r="A19" s="67" t="str">
        <x:v>SEC.14</x:v>
      </x:c>
      <x:c r="B19" s="67" t="str">
        <x:v>Recuperação</x:v>
      </x:c>
      <x:c r="C19" s="67" t="str">
        <x:v>Códigos de recuperação</x:v>
      </x:c>
      <x:c r="D19" s="67" t="str">
        <x:v>Gerar uma vez, guardar por hash, uso único, inventário restante e regeneração invalidando anteriores.</x:v>
      </x:c>
      <x:c r="E19" s="69" t="str">
        <x:v>MVP 1</x:v>
      </x:c>
      <x:c r="F19" s="69" t="str">
        <x:v>Essencial</x:v>
      </x:c>
      <x:c r="G19" s="67" t="str">
        <x:v>Recuperação de MFA</x:v>
      </x:c>
      <x:c r="H19" s="67" t="str">
        <x:v>Evita suporte inseguro e perguntas secretas.</x:v>
      </x:c>
      <x:c r="I19" s="67" t="str">
        <x:v>https://cheatsheetseries.owasp.org/cheatsheets/Multifactor_Authentication_Cheat_Sheet.html</x:v>
      </x:c>
    </x:row>
    <x:row r="20" ht="54" customHeight="1">
      <x:c r="A20" s="67" t="str">
        <x:v>SEC.15</x:v>
      </x:c>
      <x:c r="B20" s="67" t="str">
        <x:v>Recuperação</x:v>
      </x:c>
      <x:c r="C20" s="67" t="str">
        <x:v>Redefinição de senha</x:v>
      </x:c>
      <x:c r="D20" s="67" t="str">
        <x:v>Resposta neutra, rate limit, token hash/single-use/expirável, notificação e opção de revogar sessões.</x:v>
      </x:c>
      <x:c r="E20" s="69" t="str">
        <x:v>MVP 1</x:v>
      </x:c>
      <x:c r="F20" s="69" t="str">
        <x:v>Essencial</x:v>
      </x:c>
      <x:c r="G20" s="67" t="str">
        <x:v>Login local</x:v>
      </x:c>
      <x:c r="H20" s="67" t="str">
        <x:v>Evita enumeração, replay e autenticação automática após reset.</x:v>
      </x:c>
      <x:c r="I20" s="67" t="str">
        <x:v>https://cheatsheetseries.owasp.org/cheatsheets/Forgot_Password_Cheat_Sheet.html</x:v>
      </x:c>
    </x:row>
    <x:row r="21" ht="54" customHeight="1">
      <x:c r="A21" s="67" t="str">
        <x:v>SEC.16</x:v>
      </x:c>
      <x:c r="B21" s="67" t="str">
        <x:v>Sessão</x:v>
      </x:c>
      <x:c r="C21" s="67" t="str">
        <x:v>Dispositivos confiáveis</x:v>
      </x:c>
      <x:c r="D21" s="67" t="str">
        <x:v>Nomear, revisar e revogar dispositivo; alertar novo acesso sem vincular rigidamente ao IP móvel.</x:v>
      </x:c>
      <x:c r="E21" s="69" t="str">
        <x:v>MVP 1</x:v>
      </x:c>
      <x:c r="F21" s="69" t="str">
        <x:v>Importante</x:v>
      </x:c>
      <x:c r="G21" s="67" t="str">
        <x:v>MFA e detecção de risco</x:v>
      </x:c>
      <x:c r="H21" s="67" t="str">
        <x:v>Dá visibilidade e reduz fricção de forma revogável.</x:v>
      </x:c>
      <x:c r="I21" s="67" t="str">
        <x:v>https://cheatsheetseries.owasp.org/cheatsheets/Session_Management_Cheat_Sheet.html</x:v>
      </x:c>
    </x:row>
    <x:row r="22" ht="54" customHeight="1">
      <x:c r="A22" s="67" t="str">
        <x:v>SEC.17</x:v>
      </x:c>
      <x:c r="B22" s="67" t="str">
        <x:v>Integrações</x:v>
      </x:c>
      <x:c r="C22" s="67" t="str">
        <x:v>Contas de serviço</x:v>
      </x:c>
      <x:c r="D22" s="67" t="str">
        <x:v>Identidade não humana com owner, finalidade, status e escopos próprios; sem login web.</x:v>
      </x:c>
      <x:c r="E22" s="69" t="str">
        <x:v>MVP 1</x:v>
      </x:c>
      <x:c r="F22" s="69" t="str">
        <x:v>Essencial</x:v>
      </x:c>
      <x:c r="G22" s="67" t="str">
        <x:v>Sensores e integrações</x:v>
      </x:c>
      <x:c r="H22" s="67" t="str">
        <x:v>Evita compartilhar conta humana e melhora atribuição.</x:v>
      </x:c>
      <x:c r="I22" s="67" t="str">
        <x:v>https://cheatsheetseries.owasp.org/cheatsheets/Secrets_Management_Cheat_Sheet.html</x:v>
      </x:c>
    </x:row>
    <x:row r="23" ht="54" customHeight="1">
      <x:c r="A23" s="67" t="str">
        <x:v>SEC.18</x:v>
      </x:c>
      <x:c r="B23" s="67" t="str">
        <x:v>Integrações</x:v>
      </x:c>
      <x:c r="C23" s="67" t="str">
        <x:v>API keys</x:v>
      </x:c>
      <x:c r="D23" s="67" t="str">
        <x:v>Segredo mostrado uma vez; guardar hash/prefixo, escopo, expiração, rotação, último uso e revogação.</x:v>
      </x:c>
      <x:c r="E23" s="69" t="str">
        <x:v>MVP 1</x:v>
      </x:c>
      <x:c r="F23" s="69" t="str">
        <x:v>Essencial</x:v>
      </x:c>
      <x:c r="G23" s="67" t="str">
        <x:v>Integração simples</x:v>
      </x:c>
      <x:c r="H23" s="67" t="str">
        <x:v>Limita impacto de vazamento e permite inventário completo.</x:v>
      </x:c>
      <x:c r="I23" s="67" t="str">
        <x:v>https://cheatsheetseries.owasp.org/cheatsheets/Secrets_Management_Cheat_Sheet.html</x:v>
      </x:c>
    </x:row>
    <x:row r="24" ht="54" customHeight="1">
      <x:c r="A24" s="67" t="str">
        <x:v>SEC.19</x:v>
      </x:c>
      <x:c r="B24" s="67" t="str">
        <x:v>Proteção</x:v>
      </x:c>
      <x:c r="C24" s="67" t="str">
        <x:v>Rate limit adaptativo</x:v>
      </x:c>
      <x:c r="D24" s="67" t="str">
        <x:v>Throttling progressivo por conta/IP/dispositivo; CAPTCHA somente sob risco; bloqueio não permanente.</x:v>
      </x:c>
      <x:c r="E24" s="69" t="str">
        <x:v>MVP 1</x:v>
      </x:c>
      <x:c r="F24" s="69" t="str">
        <x:v>Essencial</x:v>
      </x:c>
      <x:c r="G24" s="67" t="str">
        <x:v>Endpoints públicos</x:v>
      </x:c>
      <x:c r="H24" s="67" t="str">
        <x:v>Dificulta brute force e credential stuffing sem criar DoS fácil.</x:v>
      </x:c>
      <x:c r="I24" s="67" t="str">
        <x:v>https://cheatsheetseries.owasp.org/cheatsheets/Authentication_Cheat_Sheet.html</x:v>
      </x:c>
    </x:row>
    <x:row r="25" ht="54" customHeight="1">
      <x:c r="A25" s="67" t="str">
        <x:v>SEC.20</x:v>
      </x:c>
      <x:c r="B25" s="67" t="str">
        <x:v>Proteção</x:v>
      </x:c>
      <x:c r="C25" s="67" t="str">
        <x:v>Alertas e painel de risco</x:v>
      </x:c>
      <x:c r="D25" s="67" t="str">
        <x:v>Rajadas de falha, novo dispositivo, elevação, negações repetidas, chave/certificado expirando; workflow de tratamento.</x:v>
      </x:c>
      <x:c r="E25" s="69" t="str">
        <x:v>MVP 1</x:v>
      </x:c>
      <x:c r="F25" s="69" t="str">
        <x:v>Importante</x:v>
      </x:c>
      <x:c r="G25" s="67" t="str">
        <x:v>Operação de segurança</x:v>
      </x:c>
      <x:c r="H25" s="67" t="str">
        <x:v>Transforma eventos em ações priorizadas e reduz alarm fog.</x:v>
      </x:c>
      <x:c r="I25" s="67" t="str">
        <x:v>https://cheatsheetseries.owasp.org/cheatsheets/Logging_Cheat_Sheet.html</x:v>
      </x:c>
    </x:row>
    <x:row r="26" ht="54" customHeight="1">
      <x:c r="A26" s="67" t="str">
        <x:v>SEC.21</x:v>
      </x:c>
      <x:c r="B26" s="67" t="str">
        <x:v>Governança</x:v>
      </x:c>
      <x:c r="C26" s="67" t="str">
        <x:v>Revisão de acessos</x:v>
      </x:c>
      <x:c r="D26" s="67" t="str">
        <x:v>Campanhas com responsável, prazo, decisão, justificativa, evidência e remoção de acesso órfão.</x:v>
      </x:c>
      <x:c r="E26" s="69" t="str">
        <x:v>MVP 1</x:v>
      </x:c>
      <x:c r="F26" s="69" t="str">
        <x:v>Importante</x:v>
      </x:c>
      <x:c r="G26" s="67" t="str">
        <x:v>Administradores e integrações</x:v>
      </x:c>
      <x:c r="H26" s="67" t="str">
        <x:v>Controla acúmulo de privilégios ao longo do tempo.</x:v>
      </x:c>
      <x:c r="I26" s="67" t="str">
        <x:v>https://cheatsheetseries.owasp.org/cheatsheets/Authorization_Cheat_Sheet.html</x:v>
      </x:c>
    </x:row>
    <x:row r="27" ht="54" customHeight="1">
      <x:c r="A27" s="67" t="str">
        <x:v>SEC.22</x:v>
      </x:c>
      <x:c r="B27" s="67" t="str">
        <x:v>Governança</x:v>
      </x:c>
      <x:c r="C27" s="67" t="str">
        <x:v>Segregação de funções</x:v>
      </x:c>
      <x:c r="D27" s="67" t="str">
        <x:v>Proibir autoaprovação e combinações críticas; exceção com motivo, aprovação e validade.</x:v>
      </x:c>
      <x:c r="E27" s="69" t="str">
        <x:v>MVP 1</x:v>
      </x:c>
      <x:c r="F27" s="69" t="str">
        <x:v>Essencial</x:v>
      </x:c>
      <x:c r="G27" s="67" t="str">
        <x:v>Ações críticas</x:v>
      </x:c>
      <x:c r="H27" s="67" t="str">
        <x:v>Reduz fraude, erro e abuso administrativo.</x:v>
      </x:c>
      <x:c r="I27" s="67" t="str">
        <x:v>https://cheatsheetseries.owasp.org/cheatsheets/Authorization_Cheat_Sheet.html</x:v>
      </x:c>
    </x:row>
    <x:row r="28" ht="54" customHeight="1">
      <x:c r="A28" s="67" t="str">
        <x:v>SEC.23</x:v>
      </x:c>
      <x:c r="B28" s="67" t="str">
        <x:v>Continuidade</x:v>
      </x:c>
      <x:c r="C28" s="67" t="str">
        <x:v>Conta de emergência</x:v>
      </x:c>
      <x:c r="D28" s="67" t="str">
        <x:v>Break-glass offline, MFA forte, custódia, monitoramento, rotação e teste periódico.</x:v>
      </x:c>
      <x:c r="E28" s="69" t="str">
        <x:v>MVP 1</x:v>
      </x:c>
      <x:c r="F28" s="69" t="str">
        <x:v>Importante</x:v>
      </x:c>
      <x:c r="G28" s="67" t="str">
        <x:v>Falha administrativa/SSO</x:v>
      </x:c>
      <x:c r="H28" s="67" t="str">
        <x:v>Permite recuperação controlada sem uso diário privilegiado.</x:v>
      </x:c>
      <x:c r="I28" s="67" t="str">
        <x:v>https://pages.nist.gov/800-63-4/sp800-63b.html</x:v>
      </x:c>
    </x:row>
    <x:row r="29" ht="54" customHeight="1">
      <x:c r="A29" s="67" t="str">
        <x:v>SEC.24</x:v>
      </x:c>
      <x:c r="B29" s="67" t="str">
        <x:v>Privacidade</x:v>
      </x:c>
      <x:c r="C29" s="67" t="str">
        <x:v>Retenção e pseudonimização</x:v>
      </x:c>
      <x:c r="D29" s="67" t="str">
        <x:v>Política por tipo de evento, acesso restrito, hash/minimização de IP/UA, expurgo e exportação auditada.</x:v>
      </x:c>
      <x:c r="E29" s="69" t="str">
        <x:v>MVP 1</x:v>
      </x:c>
      <x:c r="F29" s="69" t="str">
        <x:v>Essencial</x:v>
      </x:c>
      <x:c r="G29" s="67" t="str">
        <x:v>Logs e auditoria</x:v>
      </x:c>
      <x:c r="H29" s="67" t="str">
        <x:v>Equilibra investigação, privacidade e custo de armazenamento.</x:v>
      </x:c>
      <x:c r="I29" s="67" t="str">
        <x:v>https://cheatsheetseries.owasp.org/cheatsheets/Logging_Cheat_Sheet.html</x:v>
      </x:c>
    </x:row>
    <x:row r="30" ht="54" customHeight="1">
      <x:c r="A30" s="67" t="str">
        <x:v>SEC.25</x:v>
      </x:c>
      <x:c r="B30" s="67" t="str">
        <x:v>Federação e SSO</x:v>
      </x:c>
      <x:c r="C30" s="67" t="str">
        <x:v>Provedor SAML 2.0</x:v>
      </x:c>
      <x:c r="D30" s="67" t="str">
        <x:v>Configurar SP/RP, entity IDs, ACS, issuer, audience, destination, assinatura, tempo, replay e algoritmos permitidos.</x:v>
      </x:c>
      <x:c r="E30" s="69" t="str">
        <x:v>Evolução</x:v>
      </x:c>
      <x:c r="F30" s="69" t="str">
        <x:v>Importante</x:v>
      </x:c>
      <x:c r="G30" s="67" t="str">
        <x:v>SSO empresarial/ADFS</x:v>
      </x:c>
      <x:c r="H30" s="67" t="str">
        <x:v>Atende organizações que padronizam SAML sem terceirizar autorização interna.</x:v>
      </x:c>
      <x:c r="I30" s="67" t="str">
        <x:v>https://docs.spring.io/spring-security/reference/servlet/saml2/</x:v>
      </x:c>
    </x:row>
    <x:row r="31" ht="54" customHeight="1">
      <x:c r="A31" s="67" t="str">
        <x:v>SEC.26</x:v>
      </x:c>
      <x:c r="B31" s="67" t="str">
        <x:v>Federação e SSO</x:v>
      </x:c>
      <x:c r="C31" s="67" t="str">
        <x:v>Metadata e certificados SAML</x:v>
      </x:c>
      <x:c r="D31" s="67" t="str">
        <x:v>Importar/publicar metadata, armazenar certificado público, referenciar chave externa, validar e rotacionar com sobreposição/alertas.</x:v>
      </x:c>
      <x:c r="E31" s="69" t="str">
        <x:v>Evolução</x:v>
      </x:c>
      <x:c r="F31" s="69" t="str">
        <x:v>Essencial</x:v>
      </x:c>
      <x:c r="G31" s="67" t="str">
        <x:v>Ao ativar SAML</x:v>
      </x:c>
      <x:c r="H31" s="67" t="str">
        <x:v>Evita expiração silenciosa e mantém assinatura/cifra gerenciáveis.</x:v>
      </x:c>
      <x:c r="I31" s="67" t="str">
        <x:v>https://docs.spring.io/spring-security/reference/servlet/saml2/</x:v>
      </x:c>
    </x:row>
    <x:row r="32" ht="54" customHeight="1">
      <x:c r="A32" s="67" t="str">
        <x:v>SEC.27</x:v>
      </x:c>
      <x:c r="B32" s="67" t="str">
        <x:v>Federação e SSO</x:v>
      </x:c>
      <x:c r="C32" s="67" t="str">
        <x:v>Single Logout SAML</x:v>
      </x:c>
      <x:c r="D32" s="67" t="str">
        <x:v>RP/AP initiated SLO, requests/responses assinados, fallback para logout local e revogação da sessão interna.</x:v>
      </x:c>
      <x:c r="E32" s="69" t="str">
        <x:v>Evolução</x:v>
      </x:c>
      <x:c r="F32" s="69" t="str">
        <x:v>Importante</x:v>
      </x:c>
      <x:c r="G32" s="67" t="str">
        <x:v>IdP compatível</x:v>
      </x:c>
      <x:c r="H32" s="67" t="str">
        <x:v>Mantém encerramento coerente entre aplicação e diretório.</x:v>
      </x:c>
      <x:c r="I32" s="67" t="str">
        <x:v>https://docs.spring.io/spring-security/reference/servlet/saml2/</x:v>
      </x:c>
    </x:row>
    <x:row r="33" ht="54" customHeight="1">
      <x:c r="A33" s="67" t="str">
        <x:v>SEC.28</x:v>
      </x:c>
      <x:c r="B33" s="67" t="str">
        <x:v>Federação e SSO</x:v>
      </x:c>
      <x:c r="C33" s="67" t="str">
        <x:v>OpenID Connect</x:v>
      </x:c>
      <x:c r="D33" s="67" t="str">
        <x:v>Authorization Code, discovery, state, nonce, PKCE, redirect exato, issuer/sub e logout por capacidade.</x:v>
      </x:c>
      <x:c r="E33" s="69" t="str">
        <x:v>Evolução</x:v>
      </x:c>
      <x:c r="F33" s="69" t="str">
        <x:v>Importante</x:v>
      </x:c>
      <x:c r="G33" s="67" t="str">
        <x:v>SSO cloud e integrações novas</x:v>
      </x:c>
      <x:c r="H33" s="67" t="str">
        <x:v>É a opção moderna para login federado e provedores cloud.</x:v>
      </x:c>
      <x:c r="I33" s="67" t="str">
        <x:v>https://docs.spring.io/spring-security/reference/servlet/oauth2/login/</x:v>
      </x:c>
    </x:row>
    <x:row r="34" ht="54" customHeight="1">
      <x:c r="A34" s="67" t="str">
        <x:v>SEC.29</x:v>
      </x:c>
      <x:c r="B34" s="67" t="str">
        <x:v>Federação e SSO</x:v>
      </x:c>
      <x:c r="C34" s="67" t="str">
        <x:v>Account linking e JIT</x:v>
      </x:c>
      <x:c r="D34" s="67" t="str">
        <x:v>Vincular por provider+subject; convite/domínio verificado; conflito manual; grupos externos por allowlist.</x:v>
      </x:c>
      <x:c r="E34" s="69" t="str">
        <x:v>Evolução</x:v>
      </x:c>
      <x:c r="F34" s="69" t="str">
        <x:v>Essencial</x:v>
      </x:c>
      <x:c r="G34" s="67" t="str">
        <x:v>SAML/OIDC</x:v>
      </x:c>
      <x:c r="H34" s="67" t="str">
        <x:v>Impede takeover por coincidência de e-mail ou group injection.</x:v>
      </x:c>
      <x:c r="I34" s="67" t="str">
        <x:v>https://cheatsheetseries.owasp.org/cheatsheets/Authentication_Cheat_Sheet.html</x:v>
      </x:c>
    </x:row>
    <x:row r="35" ht="54" customHeight="1">
      <x:c r="A35" s="67" t="str">
        <x:v>SEC.30</x:v>
      </x:c>
      <x:c r="B35" s="67" t="str">
        <x:v>Provisionamento</x:v>
      </x:c>
      <x:c r="C35" s="67" t="str">
        <x:v>SCIM 2.0</x:v>
      </x:c>
      <x:c r="D35" s="67" t="str">
        <x:v>Users/Groups, schemas/discovery, PATCH, filtros, ETag, paginação, idempotência, reconciliação e desativação.</x:v>
      </x:c>
      <x:c r="E35" s="69" t="str">
        <x:v>Evolução</x:v>
      </x:c>
      <x:c r="F35" s="69" t="str">
        <x:v>Importante</x:v>
      </x:c>
      <x:c r="G35" s="67" t="str">
        <x:v>Clientes B2B com diretório</x:v>
      </x:c>
      <x:c r="H35" s="67" t="str">
        <x:v>Automatiza admissão, mudança e desligamento por padrão interoperável.</x:v>
      </x:c>
      <x:c r="I35" s="67" t="str">
        <x:v>https://www.rfc-editor.org/rfc/rfc7644.html</x:v>
      </x:c>
    </x:row>
    <x:row r="36" ht="54" customHeight="1">
      <x:c r="A36" s="67" t="str">
        <x:v>SEC.31</x:v>
      </x:c>
      <x:c r="B36" s="67" t="str">
        <x:v>Provisionamento</x:v>
      </x:c>
      <x:c r="C36" s="67" t="str">
        <x:v>LDAP / Active Directory</x:v>
      </x:c>
      <x:c r="D36" s="67" t="str">
        <x:v>LDAPS/StartTLS, certificado validado, bind read-only, base/filtro allowlisted, timeout e segredo externo.</x:v>
      </x:c>
      <x:c r="E36" s="69" t="str">
        <x:v>Evolução</x:v>
      </x:c>
      <x:c r="F36" s="69" t="str">
        <x:v>Opcional</x:v>
      </x:c>
      <x:c r="G36" s="67" t="str">
        <x:v>Legado on-prem sem federação</x:v>
      </x:c>
      <x:c r="H36" s="67" t="str">
        <x:v>Oferece compatibilidade, mas SAML/OIDC continua preferível.</x:v>
      </x:c>
      <x:c r="I36" s="67" t="str">
        <x:v>https://docs.spring.io/spring-security/reference/servlet/authentication/passwords/ldap.html</x:v>
      </x:c>
    </x:row>
    <x:row r="37" ht="54" customHeight="1">
      <x:c r="A37" s="67" t="str">
        <x:v>SEC.32</x:v>
      </x:c>
      <x:c r="B37" s="67" t="str">
        <x:v>Integrações</x:v>
      </x:c>
      <x:c r="C37" s="67" t="str">
        <x:v>mTLS / X.509</x:v>
      </x:c>
      <x:c r="D37" s="67" t="str">
        <x:v>Certificado por dispositivo/cliente, CA confiável, validade, revogação, rotação e mapeamento para service account.</x:v>
      </x:c>
      <x:c r="E37" s="69" t="str">
        <x:v>Evolução</x:v>
      </x:c>
      <x:c r="F37" s="69" t="str">
        <x:v>Opcional</x:v>
      </x:c>
      <x:c r="G37" s="67" t="str">
        <x:v>Sensores/gateways gerenciados</x:v>
      </x:c>
      <x:c r="H37" s="67" t="str">
        <x:v>Adiciona autenticação forte de máquina sem compartilhar API key.</x:v>
      </x:c>
      <x:c r="I37" s="67" t="str">
        <x:v>https://cheatsheetseries.owasp.org/cheatsheets/Transport_Layer_Security_Cheat_Sheet.html</x:v>
      </x:c>
    </x:row>
  </x:sheetData>
  <x:mergeCells>
    <x:mergeCell ref="A1:I1"/>
    <x:mergeCell ref="A2:I2"/>
    <x:mergeCell ref="A3:B3"/>
    <x:mergeCell ref="D3:E3"/>
    <x:mergeCell ref="G3:H3"/>
  </x:mergeCells>
  <x:dataValidations count="2">
    <x:dataValidation type="list" sqref="E6:E37">
      <x:formula1>"MVP 1,Evolução"</x:formula1>
    </x:dataValidation>
    <x:dataValidation type="list" sqref="F6:F37">
      <x:formula1>"Essencial,Importante,Opcional"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05e9f692a24c19"/>
  </x:tableParts>
</x:worksheet>
</file>